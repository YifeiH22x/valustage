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README" sheetId="1" state="visible" r:id="rId3"/>
    <sheet name="1_Inputs" sheetId="2" state="visible" r:id="rId4"/>
    <sheet name="2_Artist_Drivers" sheetId="3" state="visible" r:id="rId5"/>
    <sheet name="3_Scenarios" sheetId="4" state="visible" r:id="rId6"/>
    <sheet name="4_DCF" sheetId="5" state="visible" r:id="rId7"/>
    <sheet name="5_Comps" sheetId="6" state="visible" r:id="rId8"/>
    <sheet name="6_Implied" sheetId="7" state="visible" r:id="rId9"/>
    <sheet name="7_Sensitivity" sheetId="8" state="visible" r:id="rId10"/>
    <sheet name="8_Dashboard" sheetId="9" state="visible" r:id="rId11"/>
    <sheet name="9_Source_Log" sheetId="10" state="visible" r:id="rId12"/>
    <sheet name="10_Feasibility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<sst xmlns="http://schemas.openxmlformats.org/spreadsheetml/2006/main" count="389" uniqueCount="323">
  <si>
    <t xml:space="preserve">ValuStage MVP prototype (Excel)</t>
  </si>
  <si>
    <t xml:space="preserve">Purpose</t>
  </si>
  <si>
    <t xml:space="preserve">Test whether the first version of ValuStage (as defined in the SYSEN 5900 report) can be built in Excel. Every result is a live formula.</t>
  </si>
  <si>
    <t xml:space="preserve">How to use</t>
  </si>
  <si>
    <t xml:space="preserve">1. Pick a scenario (Bear / Base / Bull) in 1_Inputs, cell B21. Everything updates.</t>
  </si>
  <si>
    <t xml:space="preserve">2. Change any blue number (inputs) or yellow cell (placeholders to replace with real data).</t>
  </si>
  <si>
    <t xml:space="preserve">3. Read the results on 8_Dashboard.</t>
  </si>
  <si>
    <t xml:space="preserve">Colour code</t>
  </si>
  <si>
    <t xml:space="preserve">Blue text = input you can change.  Black text = formula.  Green text = link from another sheet.</t>
  </si>
  <si>
    <t xml:space="preserve">Yellow fill = placeholder or illustrative estimate that must be replaced with real data before any conclusion is drawn.</t>
  </si>
  <si>
    <t xml:space="preserve">IMPORTANT</t>
  </si>
  <si>
    <t xml:space="preserve">Only SM's 2025 revenue and operating profit, the share price and the past deal prices come from cited public sources (see 9_Source_Log).</t>
  </si>
  <si>
    <t xml:space="preserve">All artist-level figures, peer multiples, net cash and model assumptions are ILLUSTRATIVE placeholders chosen to test the mechanics. The output is NOT a valuation of SM Entertainment and NOT investment advice.</t>
  </si>
  <si>
    <t xml:space="preserve">Sheets</t>
  </si>
  <si>
    <t xml:space="preserve">1_Inputs - company data, model assumptions, scenario selector (OR-4, OR-13)</t>
  </si>
  <si>
    <t xml:space="preserve">2_Artist_Drivers - revenue by artist group from albums and concerts; contract dates; reconciliation check (OR-3, OR-5, OR-6, OR-7)</t>
  </si>
  <si>
    <t xml:space="preserve">3_Scenarios - Bear / Base / Bull assumptions and the value under each (OR-10)</t>
  </si>
  <si>
    <t xml:space="preserve">4_DCF - 5-year discounted cash flow for the selected scenario (OR-8)</t>
  </si>
  <si>
    <t xml:space="preserve">5_Comps - EV/EBITDA and P/E valuation using HYBE, JYP and YG (OR-9)</t>
  </si>
  <si>
    <t xml:space="preserve">6_Implied - revenue growth implied by the current share price (OR-11)</t>
  </si>
  <si>
    <t xml:space="preserve">7_Sensitivity - value per share when each key assumption moves (OR-12)</t>
  </si>
  <si>
    <t xml:space="preserve">8_Dashboard - value range, deal prices, scenarios and sensitivity on one screen (OR-14, OR-15, OR-16)</t>
  </si>
  <si>
    <t xml:space="preserve">9_Source_Log - source and date of every input (OR-13)</t>
  </si>
  <si>
    <t xml:space="preserve">10_Feasibility - which originating requirements Excel can meet</t>
  </si>
  <si>
    <t xml:space="preserve">1. Inputs and assumptions</t>
  </si>
  <si>
    <t xml:space="preserve">Units: KRW bn unless stated. Blue = input; yellow = placeholder to replace.</t>
  </si>
  <si>
    <t xml:space="preserve">Item</t>
  </si>
  <si>
    <t xml:space="preserve">Value</t>
  </si>
  <si>
    <t xml:space="preserve">Unit</t>
  </si>
  <si>
    <t xml:space="preserve">Type</t>
  </si>
  <si>
    <t xml:space="preserve">Source / note</t>
  </si>
  <si>
    <t xml:space="preserve">SM revenue, FY2025</t>
  </si>
  <si>
    <t xml:space="preserve">KRW bn</t>
  </si>
  <si>
    <t xml:space="preserve">Public</t>
  </si>
  <si>
    <t xml:space="preserve">SM Entertainment (2026b), 4Q25 earnings release; sum of four quarters (preliminary)</t>
  </si>
  <si>
    <t xml:space="preserve">SM operating profit, FY2025</t>
  </si>
  <si>
    <t xml:space="preserve">SM Entertainment (2026b); sum of four quarters (preliminary)</t>
  </si>
  <si>
    <t xml:space="preserve">Shares outstanding</t>
  </si>
  <si>
    <t xml:space="preserve">mn</t>
  </si>
  <si>
    <t xml:space="preserve">Yahoo Finance (n.d.); verify against DART filing</t>
  </si>
  <si>
    <t xml:space="preserve">Current share price</t>
  </si>
  <si>
    <t xml:space="preserve">KRW</t>
  </si>
  <si>
    <t xml:space="preserve">Yahoo Finance (n.d.), previous close, Oct 2026</t>
  </si>
  <si>
    <t xml:space="preserve">Net cash (cash minus debt)</t>
  </si>
  <si>
    <t xml:space="preserve">Placeholder</t>
  </si>
  <si>
    <t xml:space="preserve">Replace with balance sheet figure from Open DART</t>
  </si>
  <si>
    <t xml:space="preserve">Depreciation and amortisation, FY2025</t>
  </si>
  <si>
    <t xml:space="preserve">Replace with cash flow statement figure from Open DART</t>
  </si>
  <si>
    <t xml:space="preserve">Tax rate</t>
  </si>
  <si>
    <t xml:space="preserve">%</t>
  </si>
  <si>
    <t xml:space="preserve">Assumption</t>
  </si>
  <si>
    <t xml:space="preserve">Korean top statutory corporate rate; check effective rate</t>
  </si>
  <si>
    <t xml:space="preserve">FCF conversion (free cash flow / NOPAT)</t>
  </si>
  <si>
    <t xml:space="preserve">Covers capex and working capital; analyst estimate</t>
  </si>
  <si>
    <t xml:space="preserve">Terminal growth rate</t>
  </si>
  <si>
    <t xml:space="preserve">Long-run nominal growth; analyst estimate</t>
  </si>
  <si>
    <t xml:space="preserve">Other revenue per KRW of album + concert revenue</t>
  </si>
  <si>
    <t xml:space="preserve">x</t>
  </si>
  <si>
    <t xml:space="preserve">Merchandise, licensing, streaming, appearances; analyst estimate</t>
  </si>
  <si>
    <t xml:space="preserve">Reconciliation tolerance</t>
  </si>
  <si>
    <t xml:space="preserve">Allowed gap between artist-level total and reported revenue (OR-7)</t>
  </si>
  <si>
    <t xml:space="preserve">HYBE tender offer price (Feb 2023)</t>
  </si>
  <si>
    <t xml:space="preserve">Toh &amp; Bae (2023), CNN Business</t>
  </si>
  <si>
    <t xml:space="preserve">Kakao tender offer price (Mar 2023)</t>
  </si>
  <si>
    <t xml:space="preserve">Tencent Music block purchase price (May 2025)</t>
  </si>
  <si>
    <t xml:space="preserve">Bloomberg News (2025)</t>
  </si>
  <si>
    <t xml:space="preserve">Scenario</t>
  </si>
  <si>
    <t xml:space="preserve">Selected scenario (choose from list)</t>
  </si>
  <si>
    <t xml:space="preserve">Base</t>
  </si>
  <si>
    <t xml:space="preserve">Drop-down: Bear, Base or Bull. All sheets follow this choice.</t>
  </si>
  <si>
    <t xml:space="preserve">2. Artist driver model (FY2025 base year)</t>
  </si>
  <si>
    <t xml:space="preserve">ILLUSTRATIVE estimates: SM does not disclose revenue by artist. Replace yellow cells with analyst estimates; units KRW bn unless stated.</t>
  </si>
  <si>
    <t xml:space="preserve">Artist group</t>
  </si>
  <si>
    <t xml:space="preserve">Album units (mn)</t>
  </si>
  <si>
    <t xml:space="preserve">Net revenue per album (KRW)</t>
  </si>
  <si>
    <t xml:space="preserve">Album revenue</t>
  </si>
  <si>
    <t xml:space="preserve">Concerts (shows)</t>
  </si>
  <si>
    <t xml:space="preserve">Avg attendance per show</t>
  </si>
  <si>
    <t xml:space="preserve">Avg ticket price (KRW)</t>
  </si>
  <si>
    <t xml:space="preserve">Concert revenue</t>
  </si>
  <si>
    <t xml:space="preserve">Total group revenue</t>
  </si>
  <si>
    <t xml:space="preserve">Contract end year</t>
  </si>
  <si>
    <t xml:space="preserve">Renews? (base)</t>
  </si>
  <si>
    <t xml:space="preserve">NCT (all units)</t>
  </si>
  <si>
    <t xml:space="preserve">Yes</t>
  </si>
  <si>
    <t xml:space="preserve">aespa</t>
  </si>
  <si>
    <t xml:space="preserve">RIIZE</t>
  </si>
  <si>
    <t xml:space="preserve">NCT WISH</t>
  </si>
  <si>
    <t xml:space="preserve">Total, four groups</t>
  </si>
  <si>
    <t xml:space="preserve">Other artists and businesses</t>
  </si>
  <si>
    <t xml:space="preserve">Total artist-level revenue</t>
  </si>
  <si>
    <t xml:space="preserve">Reported revenue FY2025</t>
  </si>
  <si>
    <t xml:space="preserve">Difference (OR-7 check)</t>
  </si>
  <si>
    <t xml:space="preserve">Album revenue = units x net revenue per album. Concert revenue = shows x attendance x ticket price. Total group revenue adds other revenue (merchandise, licensing, streaming) using the ratio in 1_Inputs B14.</t>
  </si>
  <si>
    <t xml:space="preserve">3. Scenarios (OR-10)</t>
  </si>
  <si>
    <t xml:space="preserve">Change blue cells to define each scenario. Column E follows the scenario selected in 1_Inputs B21.</t>
  </si>
  <si>
    <t xml:space="preserve">Bear</t>
  </si>
  <si>
    <t xml:space="preserve">Bull</t>
  </si>
  <si>
    <t xml:space="preserve">Selected</t>
  </si>
  <si>
    <t xml:space="preserve">Album units, annual growth</t>
  </si>
  <si>
    <t xml:space="preserve">Concert revenue, annual growth</t>
  </si>
  <si>
    <t xml:space="preserve">Other artists and businesses, annual growth</t>
  </si>
  <si>
    <t xml:space="preserve">Operating margin</t>
  </si>
  <si>
    <t xml:space="preserve">Discount rate (WACC)</t>
  </si>
  <si>
    <t xml:space="preserve">aespa renews contract? (Yes/No)</t>
  </si>
  <si>
    <t xml:space="preserve">No</t>
  </si>
  <si>
    <t xml:space="preserve">Value under each scenario (compact engine, same logic as 4_DCF)</t>
  </si>
  <si>
    <t xml:space="preserve">Total revenue FY2026</t>
  </si>
  <si>
    <t xml:space="preserve">Total revenue FY2027</t>
  </si>
  <si>
    <t xml:space="preserve">Total revenue FY2028</t>
  </si>
  <si>
    <t xml:space="preserve">Total revenue FY2029</t>
  </si>
  <si>
    <t xml:space="preserve">Total revenue FY2030</t>
  </si>
  <si>
    <t xml:space="preserve">Enterprise value</t>
  </si>
  <si>
    <t xml:space="preserve">Value per share (KRW)</t>
  </si>
  <si>
    <t xml:space="preserve">Check: selected scenario equals 4_DCF result</t>
  </si>
  <si>
    <t xml:space="preserve">4. Discounted cash flow - selected scenario (OR-8)</t>
  </si>
  <si>
    <t xml:space="preserve">KRW bn. Scenario assumptions come from 3_Scenarios column E.</t>
  </si>
  <si>
    <t xml:space="preserve">FY2025 (base)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</si>
  <si>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</si>
  <si>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</si>
  <si>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</si>
  <si>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</si>
  <si>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</si>
  <si>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Year index (t)</t>
  </si>
  <si>
    <t xml:space="preserve">NCT (all units) - active? (1 = yes)</t>
  </si>
  <si>
    <t xml:space="preserve">NCT (all units) - revenue</t>
  </si>
  <si>
    <t xml:space="preserve">aespa - active? (1 = yes)</t>
  </si>
  <si>
    <t xml:space="preserve">aespa - revenue</t>
  </si>
  <si>
    <t xml:space="preserve">RIIZE - active? (1 = yes)</t>
  </si>
  <si>
    <t xml:space="preserve">RIIZE - revenue</t>
  </si>
  <si>
    <t xml:space="preserve">NCT WISH - active? (1 = yes)</t>
  </si>
  <si>
    <t xml:space="preserve">NCT WISH - revenue</t>
  </si>
  <si>
    <t xml:space="preserve">Other artists and businesses - revenue</t>
  </si>
  <si>
    <t xml:space="preserve">Total revenue</t>
  </si>
  <si>
    <t xml:space="preserve">Operating profit (EBIT)</t>
  </si>
  <si>
    <t xml:space="preserve">NOPAT = EBIT x (1 - tax)</t>
  </si>
  <si>
    <t xml:space="preserve">Free cash flow = NOPAT x conversion</t>
  </si>
  <si>
    <t xml:space="preserve">Discount factor</t>
  </si>
  <si>
    <t xml:space="preserve">Present value of FCF</t>
  </si>
  <si>
    <t xml:space="preserve">Sum of PV of FCF, FY2026-FY2030</t>
  </si>
  <si>
    <t xml:space="preserve">Terminal value (FY2030)</t>
  </si>
  <si>
    <t xml:space="preserve">PV of terminal value</t>
  </si>
  <si>
    <t xml:space="preserve">Plus: net cash</t>
  </si>
  <si>
    <t xml:space="preserve">Equity value</t>
  </si>
  <si>
    <t xml:space="preserve">Current share price (KRW)</t>
  </si>
  <si>
    <t xml:space="preserve">Upside / (downside) vs. price</t>
  </si>
  <si>
    <t xml:space="preserve">5. Comparable companies (OR-9)</t>
  </si>
  <si>
    <t xml:space="preserve">PLACEHOLDER multiples: replace yellow cells with current values from Yahoo Finance or company filings.</t>
  </si>
  <si>
    <t xml:space="preserve">Peer</t>
  </si>
  <si>
    <t xml:space="preserve">EV / EBITDA</t>
  </si>
  <si>
    <t xml:space="preserve">P / E</t>
  </si>
  <si>
    <t xml:space="preserve">Note</t>
  </si>
  <si>
    <t xml:space="preserve">HYBE</t>
  </si>
  <si>
    <t xml:space="preserve">Placeholder - replace with current data</t>
  </si>
  <si>
    <t xml:space="preserve">JYP Entertainment</t>
  </si>
  <si>
    <t xml:space="preserve">YG Entertainment</t>
  </si>
  <si>
    <t xml:space="preserve">Median</t>
  </si>
  <si>
    <t xml:space="preserve">SM EBITDA FY2025 = operating profit + D&amp;A</t>
  </si>
  <si>
    <t xml:space="preserve">SM normalised net income = operating profit x (1 - tax)</t>
  </si>
  <si>
    <t xml:space="preserve">Uses operating profit to avoid one-off items in reported net income</t>
  </si>
  <si>
    <t xml:space="preserve">EV/EBITDA method: enterprise value</t>
  </si>
  <si>
    <t xml:space="preserve">EV/EBITDA method: equity value (plus net cash)</t>
  </si>
  <si>
    <t xml:space="preserve">EV/EBITDA method: value per share (KRW)</t>
  </si>
  <si>
    <t xml:space="preserve">P/E method: equity value</t>
  </si>
  <si>
    <t xml:space="preserve">P/E method: value per share (KRW)</t>
  </si>
  <si>
    <t xml:space="preserve">6. What does the current share price assume? (OR-11)</t>
  </si>
  <si>
    <t xml:space="preserve">Solves for the uniform annual revenue growth (FY2026-FY2030) at which DCF value per share equals the share price, holding margin, WACC and other assumptions at the selected scenario.</t>
  </si>
  <si>
    <t xml:space="preserve">Revenue FY2025 (KRW bn)</t>
  </si>
  <si>
    <t xml:space="preserve">Operating margin (selected scenario)</t>
  </si>
  <si>
    <t xml:space="preserve">WACC (selected scenario)</t>
  </si>
  <si>
    <t xml:space="preserve">Annual revenue growth</t>
  </si>
  <si>
    <t xml:space="preserve">Result</t>
  </si>
  <si>
    <t xml:space="preserve">Implied annual revenue growth</t>
  </si>
  <si>
    <t xml:space="preserve">Base-case revenue growth (FY2025-30 CAGR)</t>
  </si>
  <si>
    <t xml:space="preserve">Gap (implied minus base case)</t>
  </si>
  <si>
    <t xml:space="preserve">Reading</t>
  </si>
  <si>
    <t xml:space="preserve">Alternative in Excel: Data &gt; What-If Analysis &gt; Goal Seek (set 4_DCF value per share to the share price by changing a growth input).</t>
  </si>
  <si>
    <t xml:space="preserve">7. Sensitivity analysis (OR-12)</t>
  </si>
  <si>
    <t xml:space="preserve">Each row changes one assumption from the selected scenario and recomputes value per share with the same logic as 4_DCF.</t>
  </si>
  <si>
    <t xml:space="preserve">Case</t>
  </si>
  <si>
    <t xml:space="preserve">Album g</t>
  </si>
  <si>
    <t xml:space="preserve">Concert g</t>
  </si>
  <si>
    <t xml:space="preserve">Other g</t>
  </si>
  <si>
    <t xml:space="preserve">Margin</t>
  </si>
  <si>
    <t xml:space="preserve">WACC</t>
  </si>
  <si>
    <t xml:space="preserve">Terminal g</t>
  </si>
  <si>
    <t xml:space="preserve">Rev FY26</t>
  </si>
  <si>
    <t xml:space="preserve">Rev FY27</t>
  </si>
  <si>
    <t xml:space="preserve">Rev FY28</t>
  </si>
  <si>
    <t xml:space="preserve">Rev FY29</t>
  </si>
  <si>
    <t xml:space="preserve">Rev FY30</t>
  </si>
  <si>
    <t xml:space="preserve">EV</t>
  </si>
  <si>
    <t xml:space="preserve">Value / share (KRW)</t>
  </si>
  <si>
    <t xml:space="preserve">Base (selected scenario)</t>
  </si>
  <si>
    <t xml:space="preserve">WACC -1 pt</t>
  </si>
  <si>
    <t xml:space="preserve">WACC +1 pt</t>
  </si>
  <si>
    <t xml:space="preserve">Terminal growth -0.5 pt</t>
  </si>
  <si>
    <t xml:space="preserve">Terminal growth +0.5 pt</t>
  </si>
  <si>
    <t xml:space="preserve">Operating margin -2 pts</t>
  </si>
  <si>
    <t xml:space="preserve">Operating margin +2 pts</t>
  </si>
  <si>
    <t xml:space="preserve">Album growth -5 pts</t>
  </si>
  <si>
    <t xml:space="preserve">Album growth +5 pts</t>
  </si>
  <si>
    <t xml:space="preserve">Concert growth -5 pts</t>
  </si>
  <si>
    <t xml:space="preserve">Concert growth +5 pts</t>
  </si>
  <si>
    <t xml:space="preserve">Check: base row equals 4_DCF result</t>
  </si>
  <si>
    <t xml:space="preserve">Summary for the dashboard (change in value per share vs. base, KRW)</t>
  </si>
  <si>
    <t xml:space="preserve">Driver</t>
  </si>
  <si>
    <t xml:space="preserve">Downside</t>
  </si>
  <si>
    <t xml:space="preserve">Upside</t>
  </si>
  <si>
    <t xml:space="preserve">WACC (+/-1 pt)</t>
  </si>
  <si>
    <t xml:space="preserve">Terminal growth (+/-0.5 pt)</t>
  </si>
  <si>
    <t xml:space="preserve">Operating margin (+/-2 pts)</t>
  </si>
  <si>
    <t xml:space="preserve">Album growth (+/-5 pts)</t>
  </si>
  <si>
    <t xml:space="preserve">Concert growth (+/-5 pts)</t>
  </si>
  <si>
    <t xml:space="preserve">8. ValuStage dashboard - SM Entertainment (OR-14, OR-15)</t>
  </si>
  <si>
    <t xml:space="preserve">Estimates for analysis only - not investment advice (OR-16). Illustrative inputs; see README.</t>
  </si>
  <si>
    <t xml:space="preserve">Selected scenario</t>
  </si>
  <si>
    <t xml:space="preserve">vs. market price</t>
  </si>
  <si>
    <t xml:space="preserve">DCF - selected scenario</t>
  </si>
  <si>
    <t xml:space="preserve">DCF - Bear</t>
  </si>
  <si>
    <t xml:space="preserve">DCF - Base</t>
  </si>
  <si>
    <t xml:space="preserve">DCF - Bull</t>
  </si>
  <si>
    <t xml:space="preserve">Comparables - EV/EBITDA</t>
  </si>
  <si>
    <t xml:space="preserve">Comparables - P/E</t>
  </si>
  <si>
    <t xml:space="preserve">Market price (Oct 2026)</t>
  </si>
  <si>
    <t xml:space="preserve">HYBE tender offer (Feb 2023)</t>
  </si>
  <si>
    <t xml:space="preserve">Kakao tender offer (Mar 2023)</t>
  </si>
  <si>
    <t xml:space="preserve">Tencent Music purchase (May 2025)</t>
  </si>
  <si>
    <t xml:space="preserve">Value range (low - high of DCF scenarios and comparables)</t>
  </si>
  <si>
    <t xml:space="preserve">Implied annual revenue growth at market price</t>
  </si>
  <si>
    <t xml:space="preserve">Base-case revenue growth</t>
  </si>
  <si>
    <t xml:space="preserve">Reconciliation check (OR-7)</t>
  </si>
  <si>
    <t xml:space="preserve">Model consistency checks</t>
  </si>
  <si>
    <t xml:space="preserve">9. Source log (OR-13)</t>
  </si>
  <si>
    <t xml:space="preserve">Input</t>
  </si>
  <si>
    <t xml:space="preserve">Location</t>
  </si>
  <si>
    <t xml:space="preserve">Source</t>
  </si>
  <si>
    <t xml:space="preserve">Date</t>
  </si>
  <si>
    <t xml:space="preserve">SM revenue and operating profit FY2025</t>
  </si>
  <si>
    <t xml:space="preserve">1_Inputs B5:B6</t>
  </si>
  <si>
    <t xml:space="preserve">SM Entertainment (2026b), 4Q25 earnings release</t>
  </si>
  <si>
    <t xml:space="preserve">Feb 2026</t>
  </si>
  <si>
    <t xml:space="preserve">Shares outstanding, share price</t>
  </si>
  <si>
    <t xml:space="preserve">1_Inputs B7:B8</t>
  </si>
  <si>
    <t xml:space="preserve">Yahoo Finance (n.d.), 041510.KQ</t>
  </si>
  <si>
    <t xml:space="preserve">Oct 8, 2026</t>
  </si>
  <si>
    <t xml:space="preserve">Past deal prices</t>
  </si>
  <si>
    <t xml:space="preserve">1_Inputs B16:B18</t>
  </si>
  <si>
    <t xml:space="preserve">Toh &amp; Bae (2023); Bloomberg News (2025)</t>
  </si>
  <si>
    <t xml:space="preserve">2023; 2025</t>
  </si>
  <si>
    <t xml:space="preserve">Net cash, D&amp;A</t>
  </si>
  <si>
    <t xml:space="preserve">1_Inputs B9:B10</t>
  </si>
  <si>
    <t xml:space="preserve">To be replaced with Open DART filings</t>
  </si>
  <si>
    <t xml:space="preserve">-</t>
  </si>
  <si>
    <t xml:space="preserve">Tax, FCF conversion, terminal growth, other-revenue ratio</t>
  </si>
  <si>
    <t xml:space="preserve">1_Inputs B11:B14</t>
  </si>
  <si>
    <t xml:space="preserve">Analyst assumptions</t>
  </si>
  <si>
    <t xml:space="preserve">Oct 2026</t>
  </si>
  <si>
    <t xml:space="preserve">Album units, ticket prices, shows, attendance, contract dates</t>
  </si>
  <si>
    <t xml:space="preserve">Private / placeholder</t>
  </si>
  <si>
    <t xml:space="preserve">2_Artist_Drivers</t>
  </si>
  <si>
    <t xml:space="preserve">Analyst estimates (to be checked against SM earnings scripts, Circle Chart, concert announcements)</t>
  </si>
  <si>
    <t xml:space="preserve">Scenario assumptions</t>
  </si>
  <si>
    <t xml:space="preserve">3_Scenarios B5:D10</t>
  </si>
  <si>
    <t xml:space="preserve">Peer multiples (HYBE, JYP, YG)</t>
  </si>
  <si>
    <t xml:space="preserve">5_Comps B5:C7</t>
  </si>
  <si>
    <t xml:space="preserve">To be replaced with Yahoo Finance data</t>
  </si>
  <si>
    <t xml:space="preserve">10. Can Excel deliver the first version? Requirement-by-requirement check</t>
  </si>
  <si>
    <t xml:space="preserve">ID</t>
  </si>
  <si>
    <t xml:space="preserve">Requirement (short)</t>
  </si>
  <si>
    <t xml:space="preserve">In Excel?</t>
  </si>
  <si>
    <t xml:space="preserve">How / limitation</t>
  </si>
  <si>
    <t xml:space="preserve">OR-1</t>
  </si>
  <si>
    <t xml:space="preserve">Import financial statements from Open DART</t>
  </si>
  <si>
    <t xml:space="preserve">Partial</t>
  </si>
  <si>
    <t xml:space="preserve">Prototype uses manual entry. Excel Power Query can call the Open DART API (free key), but setup is fiddly; a Python script is easier.</t>
  </si>
  <si>
    <t xml:space="preserve">OR-2</t>
  </si>
  <si>
    <t xml:space="preserve">Import daily share prices</t>
  </si>
  <si>
    <t xml:space="preserve">Manual entry or Power Query from a price file; Excel's STOCKHISTORY function may not cover KOSDAQ stocks.</t>
  </si>
  <si>
    <t xml:space="preserve">OR-3</t>
  </si>
  <si>
    <t xml:space="preserve">Enter artist-level data for 4 groups</t>
  </si>
  <si>
    <t xml:space="preserve">2_Artist_Drivers.</t>
  </si>
  <si>
    <t xml:space="preserve">OR-4</t>
  </si>
  <si>
    <t xml:space="preserve">Keep private estimates separate from public data</t>
  </si>
  <si>
    <t xml:space="preserve">Separated by sheet, type label and colour; Excel cannot stop a user overwriting a cell unless sheets are protected.</t>
  </si>
  <si>
    <t xml:space="preserve">OR-5</t>
  </si>
  <si>
    <t xml:space="preserve">Model revenue from albums, concerts and other sources</t>
  </si>
  <si>
    <t xml:space="preserve">2_Artist_Drivers columns D, H, I.</t>
  </si>
  <si>
    <t xml:space="preserve">OR-6</t>
  </si>
  <si>
    <t xml:space="preserve">Contract end date and renewal per group</t>
  </si>
  <si>
    <t xml:space="preserve">2_Artist_Drivers J:K; aespa renewal is a scenario switch.</t>
  </si>
  <si>
    <t xml:space="preserve">OR-7</t>
  </si>
  <si>
    <t xml:space="preserve">Show gap between artist total and reported revenue</t>
  </si>
  <si>
    <t xml:space="preserve">2_Artist_Drivers I13:J13 with OK/CHECK flag.</t>
  </si>
  <si>
    <t xml:space="preserve">OR-8</t>
  </si>
  <si>
    <t xml:space="preserve">Value per share with DCF</t>
  </si>
  <si>
    <t xml:space="preserve">4_DCF.</t>
  </si>
  <si>
    <t xml:space="preserve">OR-9</t>
  </si>
  <si>
    <t xml:space="preserve">Value per share with EV/EBITDA and P/E of peers</t>
  </si>
  <si>
    <t xml:space="preserve">5_Comps (needs real peer data).</t>
  </si>
  <si>
    <t xml:space="preserve">OR-10</t>
  </si>
  <si>
    <t xml:space="preserve">Define, save and compare 3 scenarios</t>
  </si>
  <si>
    <t xml:space="preserve">3_Scenarios; drop-down selector in 1_Inputs.</t>
  </si>
  <si>
    <t xml:space="preserve">OR-11</t>
  </si>
  <si>
    <t xml:space="preserve">Assumption implied by the share price</t>
  </si>
  <si>
    <t xml:space="preserve">6_Implied (formula grid) or Excel Goal Seek.</t>
  </si>
  <si>
    <t xml:space="preserve">OR-12</t>
  </si>
  <si>
    <t xml:space="preserve">Sensitivity analysis</t>
  </si>
  <si>
    <t xml:space="preserve">7_Sensitivity.</t>
  </si>
  <si>
    <t xml:space="preserve">OR-13</t>
  </si>
  <si>
    <t xml:space="preserve">Record source and date of each input</t>
  </si>
  <si>
    <t xml:space="preserve">9_Source_Log is filled in by hand; Excel does not record changes automatically.</t>
  </si>
  <si>
    <t xml:space="preserve">OR-14</t>
  </si>
  <si>
    <t xml:space="preserve">Show current and past deal prices on the chart</t>
  </si>
  <si>
    <t xml:space="preserve">8_Dashboard chart.</t>
  </si>
  <si>
    <t xml:space="preserve">OR-15</t>
  </si>
  <si>
    <t xml:space="preserve">Results on one dashboard screen</t>
  </si>
  <si>
    <t xml:space="preserve">8_Dashboard.</t>
  </si>
  <si>
    <t xml:space="preserve">OR-16</t>
  </si>
  <si>
    <t xml:space="preserve">Label results as estimates</t>
  </si>
  <si>
    <t xml:space="preserve">Note on 8_Dashboard and README.</t>
  </si>
  <si>
    <t xml:space="preserve">Requirements met in Excel</t>
  </si>
  <si>
    <t xml:space="preserve">Partly met (manual work needed)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</si>
</sst>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;\(#,##0.0\);\-"/>
    <numFmt numFmtId="166" formatCode="0.00"/>
    <numFmt numFmtId="167" formatCode="#,##0;\(#,##0\);\-"/>
    <numFmt numFmtId="168" formatCode="0.0%;\(0.0%\);\-"/>
    <numFmt numFmtId="169" formatCode="0.00\x"/>
    <numFmt numFmtId="170" formatCode="0.0"/>
    <numFmt numFmtId="171" formatCode="0"/>
    <numFmt numFmtId="172" formatCode="0.000"/>
    <numFmt numFmtId="173" formatCode="0.0\x"/>
    <numFmt numFmtId="174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9F9F9"/>
      </patternFill>
    </fill>
    <fill>
      <patternFill patternType="solid">
        <fgColor rgb="FFE2EFDA"/>
        <bgColor rgb="FFD9E1EE"/>
      </patternFill>
    </fill>
    <fill>
      <patternFill patternType="solid">
        <fgColor rgb="FFD9E1E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EE"/>
      <rgbColor rgb="FFC6EFCE"/>
      <rgbColor rgb="FFFFEB9C"/>
      <rgbColor rgb="FF99CCFF"/>
      <rgbColor rgb="FFFF99CC"/>
      <rgbColor rgb="FFCC99FF"/>
      <rgbColor rgb="FFF9F9F9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1F3A5F"/>
      <rgbColor rgb="FF2A7F7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per share vs. market and deal prices (KRW)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8_Dashboard!B6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8_Dashboard!$A$7:$A$16</c:f>
              <c:strCache>
                <c:ptCount val="10"/>
                <c:pt idx="0">
                  <c:v>DCF - selected scenario</c:v>
                </c:pt>
                <c:pt idx="1">
                  <c:v>DCF - Bear</c:v>
                </c:pt>
                <c:pt idx="2">
                  <c:v>DCF - Base</c:v>
                </c:pt>
                <c:pt idx="3">
                  <c:v>DCF - Bull</c:v>
                </c:pt>
                <c:pt idx="4">
                  <c:v>Comparables - EV/EBITDA</c:v>
                </c:pt>
                <c:pt idx="5">
                  <c:v>Comparables - P/E</c:v>
                </c:pt>
                <c:pt idx="6">
                  <c:v>Market price (Oct 2026)</c:v>
                </c:pt>
                <c:pt idx="7">
                  <c:v>HYBE tender offer (Feb 2023)</c:v>
                </c:pt>
                <c:pt idx="8">
                  <c:v>Kakao tender offer (Mar 2023)</c:v>
                </c:pt>
                <c:pt idx="9">
                  <c:v>Tencent Music purchase (May 2025)</c:v>
                </c:pt>
              </c:strCache>
            </c:strRef>
          </c:cat>
          <c:val>
            <c:numRef>
              <c:f>8_Dashboard!$B$7:$B$16</c:f>
              <c:numCache>
                <c:formatCode>#,##0;\(#,##0\);\-</c:formatCode>
                <c:ptCount val="10"/>
                <c:pt idx="0">
                  <c:v>65213.3324160052</c:v>
                </c:pt>
                <c:pt idx="1">
                  <c:v>33465.1940524647</c:v>
                </c:pt>
                <c:pt idx="2">
                  <c:v>65213.3324160052</c:v>
                </c:pt>
                <c:pt idx="3">
                  <c:v>107024.858316044</c:v>
                </c:pt>
                <c:pt idx="4">
                  <c:v>138007.863695937</c:v>
                </c:pt>
                <c:pt idx="5">
                  <c:v>133672.346002621</c:v>
                </c:pt>
                <c:pt idx="6">
                  <c:v>82500</c:v>
                </c:pt>
                <c:pt idx="7">
                  <c:v>120000</c:v>
                </c:pt>
                <c:pt idx="8">
                  <c:v>150000</c:v>
                </c:pt>
                <c:pt idx="9">
                  <c:v>110000</c:v>
                </c:pt>
              </c:numCache>
            </c:numRef>
          </c:val>
        </c:ser>
        <c:gapWidth val="60"/>
        <c:overlap val="0"/>
        <c:axId val="57777410"/>
        <c:axId val="87062635"/>
      </c:barChart>
      <c:catAx>
        <c:axId val="5777741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62635"/>
        <c:crosses val="autoZero"/>
        <c:auto val="1"/>
        <c:lblAlgn val="ctr"/>
        <c:lblOffset val="100"/>
        <c:noMultiLvlLbl val="0"/>
      </c:catAx>
      <c:valAx>
        <c:axId val="8706263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774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Sensitivity: change in value per share (KRW)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7_Sensitivity!B20</c:f>
              <c:strCache>
                <c:ptCount val="1"/>
                <c:pt idx="0">
                  <c:v>Downside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7_Sensitivity!$A$21:$A$25</c:f>
              <c:strCache>
                <c:ptCount val="5"/>
                <c:pt idx="0">
                  <c:v>WACC (+/-1 pt)</c:v>
                </c:pt>
                <c:pt idx="1">
                  <c:v>Terminal growth (+/-0.5 pt)</c:v>
                </c:pt>
                <c:pt idx="2">
                  <c:v>Operating margin (+/-2 pts)</c:v>
                </c:pt>
                <c:pt idx="3">
                  <c:v>Album growth (+/-5 pts)</c:v>
                </c:pt>
                <c:pt idx="4">
                  <c:v>Concert growth (+/-5 pts)</c:v>
                </c:pt>
              </c:strCache>
            </c:strRef>
          </c:cat>
          <c:val>
            <c:numRef>
              <c:f>7_Sensitivity!$B$21:$B$25</c:f>
              <c:numCache>
                <c:formatCode>#,##0;\(#,##0\);\-</c:formatCode>
                <c:ptCount val="5"/>
                <c:pt idx="0">
                  <c:v>-7300.56409026161</c:v>
                </c:pt>
                <c:pt idx="1">
                  <c:v>-2861.54939061071</c:v>
                </c:pt>
                <c:pt idx="2">
                  <c:v>-8360.68364307759</c:v>
                </c:pt>
                <c:pt idx="3">
                  <c:v>-3270.34948990958</c:v>
                </c:pt>
                <c:pt idx="4">
                  <c:v>-4235.92070871311</c:v>
                </c:pt>
              </c:numCache>
            </c:numRef>
          </c:val>
        </c:ser>
        <c:ser>
          <c:idx val="1"/>
          <c:order val="1"/>
          <c:tx>
            <c:strRef>
              <c:f>7_Sensitivity!C20</c:f>
              <c:strCache>
                <c:ptCount val="1"/>
                <c:pt idx="0">
                  <c:v>Upside</c:v>
                </c:pt>
              </c:strCache>
            </c:strRef>
          </c:tx>
          <c:spPr>
            <a:solidFill>
              <a:srgbClr val="2a7f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7_Sensitivity!$A$21:$A$25</c:f>
              <c:strCache>
                <c:ptCount val="5"/>
                <c:pt idx="0">
                  <c:v>WACC (+/-1 pt)</c:v>
                </c:pt>
                <c:pt idx="1">
                  <c:v>Terminal growth (+/-0.5 pt)</c:v>
                </c:pt>
                <c:pt idx="2">
                  <c:v>Operating margin (+/-2 pts)</c:v>
                </c:pt>
                <c:pt idx="3">
                  <c:v>Album growth (+/-5 pts)</c:v>
                </c:pt>
                <c:pt idx="4">
                  <c:v>Concert growth (+/-5 pts)</c:v>
                </c:pt>
              </c:strCache>
            </c:strRef>
          </c:cat>
          <c:val>
            <c:numRef>
              <c:f>7_Sensitivity!$C$21:$C$25</c:f>
              <c:numCache>
                <c:formatCode>#,##0;\(#,##0\);\-</c:formatCode>
                <c:ptCount val="5"/>
                <c:pt idx="0">
                  <c:v>9389.08851210176</c:v>
                </c:pt>
                <c:pt idx="1">
                  <c:v>3243.08930935882</c:v>
                </c:pt>
                <c:pt idx="2">
                  <c:v>8360.6836430776</c:v>
                </c:pt>
                <c:pt idx="3">
                  <c:v>3949.44939169632</c:v>
                </c:pt>
                <c:pt idx="4">
                  <c:v>5035.2861864816</c:v>
                </c:pt>
              </c:numCache>
            </c:numRef>
          </c:val>
        </c:ser>
        <c:gapWidth val="60"/>
        <c:overlap val="100"/>
        <c:axId val="50672460"/>
        <c:axId val="79621820"/>
      </c:barChart>
      <c:catAx>
        <c:axId val="506724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21820"/>
        <c:crosses val="autoZero"/>
        <c:auto val="1"/>
        <c:lblAlgn val="ctr"/>
        <c:lblOffset val="100"/>
        <c:noMultiLvlLbl val="0"/>
      </c:catAx>
      <c:valAx>
        <c:axId val="7962182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7246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10</xdr:col>
      <xdr:colOff>229320</xdr:colOff>
      <xdr:row>23</xdr:row>
      <xdr:rowOff>7560</xdr:rowOff>
    </xdr:to>
    <xdr:graphicFrame>
      <xdr:nvGraphicFramePr>
        <xdr:cNvPr id="0" name="Chart 1"/>
        <xdr:cNvGraphicFramePr/>
      </xdr:nvGraphicFramePr>
      <xdr:xfrm>
        <a:off x="563868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25</xdr:row>
      <xdr:rowOff>48240</xdr:rowOff>
    </xdr:from>
    <xdr:to>
      <xdr:col>10</xdr:col>
      <xdr:colOff>229320</xdr:colOff>
      <xdr:row>40</xdr:row>
      <xdr:rowOff>70200</xdr:rowOff>
    </xdr:to>
    <xdr:graphicFrame>
      <xdr:nvGraphicFramePr>
        <xdr:cNvPr id="1" name="Chart 2"/>
        <xdr:cNvGraphicFramePr/>
      </xdr:nvGraphicFramePr>
      <xdr:xfrm>
        <a:off x="5638680" y="4952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10</v>
      </c>
    </row>
    <row r="16" customFormat="false" ht="23.85" hidden="false" customHeight="false" outlineLevel="0" collapsed="false">
      <c r="A16" s="3" t="s">
        <v>11</v>
      </c>
    </row>
    <row r="17" customFormat="false" ht="23.8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2" t="s">
        <v>13</v>
      </c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5" t="s">
        <v>25</v>
      </c>
    </row>
    <row r="4" customFormat="false" ht="15" hidden="false" customHeight="false" outlineLevel="0" collapsed="false">
      <c r="A4" s="6" t="s">
        <v>26</v>
      </c>
      <c r="B4" s="6" t="s">
        <v>27</v>
      </c>
      <c r="C4" s="6" t="s">
        <v>28</v>
      </c>
      <c r="D4" s="6" t="s">
        <v>29</v>
      </c>
      <c r="E4" s="6" t="s">
        <v>30</v>
      </c>
    </row>
    <row r="5" customFormat="false" ht="23.85" hidden="false" customHeight="false" outlineLevel="0" collapsed="false">
      <c r="A5" s="7" t="s">
        <v>31</v>
      </c>
      <c r="B5" s="8" t="n">
        <v>1174.9</v>
      </c>
      <c r="C5" s="9" t="s">
        <v>32</v>
      </c>
      <c r="D5" s="9" t="s">
        <v>33</v>
      </c>
      <c r="E5" s="7" t="s">
        <v>34</v>
      </c>
    </row>
    <row r="6" customFormat="false" ht="15" hidden="false" customHeight="false" outlineLevel="0" collapsed="false">
      <c r="A6" s="7" t="s">
        <v>35</v>
      </c>
      <c r="B6" s="8" t="n">
        <v>183</v>
      </c>
      <c r="C6" s="9" t="s">
        <v>32</v>
      </c>
      <c r="D6" s="9" t="s">
        <v>33</v>
      </c>
      <c r="E6" s="7" t="s">
        <v>36</v>
      </c>
    </row>
    <row r="7" customFormat="false" ht="15" hidden="false" customHeight="false" outlineLevel="0" collapsed="false">
      <c r="A7" s="7" t="s">
        <v>37</v>
      </c>
      <c r="B7" s="10" t="n">
        <v>22.89</v>
      </c>
      <c r="C7" s="9" t="s">
        <v>38</v>
      </c>
      <c r="D7" s="9" t="s">
        <v>33</v>
      </c>
      <c r="E7" s="7" t="s">
        <v>39</v>
      </c>
    </row>
    <row r="8" customFormat="false" ht="15" hidden="false" customHeight="false" outlineLevel="0" collapsed="false">
      <c r="A8" s="7" t="s">
        <v>40</v>
      </c>
      <c r="B8" s="11" t="n">
        <v>82500</v>
      </c>
      <c r="C8" s="9" t="s">
        <v>41</v>
      </c>
      <c r="D8" s="9" t="s">
        <v>33</v>
      </c>
      <c r="E8" s="7" t="s">
        <v>42</v>
      </c>
    </row>
    <row r="9" customFormat="false" ht="15" hidden="false" customHeight="false" outlineLevel="0" collapsed="false">
      <c r="A9" s="7" t="s">
        <v>43</v>
      </c>
      <c r="B9" s="12" t="n">
        <v>0</v>
      </c>
      <c r="C9" s="9" t="s">
        <v>32</v>
      </c>
      <c r="D9" s="9" t="s">
        <v>44</v>
      </c>
      <c r="E9" s="7" t="s">
        <v>45</v>
      </c>
    </row>
    <row r="10" customFormat="false" ht="15" hidden="false" customHeight="false" outlineLevel="0" collapsed="false">
      <c r="A10" s="7" t="s">
        <v>46</v>
      </c>
      <c r="B10" s="12" t="n">
        <v>60</v>
      </c>
      <c r="C10" s="9" t="s">
        <v>32</v>
      </c>
      <c r="D10" s="9" t="s">
        <v>44</v>
      </c>
      <c r="E10" s="7" t="s">
        <v>47</v>
      </c>
    </row>
    <row r="11" customFormat="false" ht="15" hidden="false" customHeight="false" outlineLevel="0" collapsed="false">
      <c r="A11" s="7" t="s">
        <v>48</v>
      </c>
      <c r="B11" s="13" t="n">
        <v>0.24</v>
      </c>
      <c r="C11" s="9" t="s">
        <v>49</v>
      </c>
      <c r="D11" s="9" t="s">
        <v>50</v>
      </c>
      <c r="E11" s="7" t="s">
        <v>51</v>
      </c>
    </row>
    <row r="12" customFormat="false" ht="15" hidden="false" customHeight="false" outlineLevel="0" collapsed="false">
      <c r="A12" s="7" t="s">
        <v>52</v>
      </c>
      <c r="B12" s="13" t="n">
        <v>0.8</v>
      </c>
      <c r="C12" s="9" t="s">
        <v>49</v>
      </c>
      <c r="D12" s="9" t="s">
        <v>50</v>
      </c>
      <c r="E12" s="7" t="s">
        <v>53</v>
      </c>
    </row>
    <row r="13" customFormat="false" ht="15" hidden="false" customHeight="false" outlineLevel="0" collapsed="false">
      <c r="A13" s="7" t="s">
        <v>54</v>
      </c>
      <c r="B13" s="13" t="n">
        <v>0.02</v>
      </c>
      <c r="C13" s="9" t="s">
        <v>49</v>
      </c>
      <c r="D13" s="9" t="s">
        <v>50</v>
      </c>
      <c r="E13" s="7" t="s">
        <v>55</v>
      </c>
    </row>
    <row r="14" customFormat="false" ht="15" hidden="false" customHeight="false" outlineLevel="0" collapsed="false">
      <c r="A14" s="7" t="s">
        <v>56</v>
      </c>
      <c r="B14" s="14" t="n">
        <v>0.8</v>
      </c>
      <c r="C14" s="9" t="s">
        <v>57</v>
      </c>
      <c r="D14" s="9" t="s">
        <v>50</v>
      </c>
      <c r="E14" s="7" t="s">
        <v>58</v>
      </c>
    </row>
    <row r="15" customFormat="false" ht="15" hidden="false" customHeight="false" outlineLevel="0" collapsed="false">
      <c r="A15" s="7" t="s">
        <v>59</v>
      </c>
      <c r="B15" s="13" t="n">
        <v>0.02</v>
      </c>
      <c r="C15" s="9" t="s">
        <v>49</v>
      </c>
      <c r="D15" s="9" t="s">
        <v>50</v>
      </c>
      <c r="E15" s="7" t="s">
        <v>60</v>
      </c>
    </row>
    <row r="16" customFormat="false" ht="15" hidden="false" customHeight="false" outlineLevel="0" collapsed="false">
      <c r="A16" s="7" t="s">
        <v>61</v>
      </c>
      <c r="B16" s="11" t="n">
        <v>120000</v>
      </c>
      <c r="C16" s="9" t="s">
        <v>41</v>
      </c>
      <c r="D16" s="9" t="s">
        <v>33</v>
      </c>
      <c r="E16" s="7" t="s">
        <v>62</v>
      </c>
    </row>
    <row r="17" customFormat="false" ht="15" hidden="false" customHeight="false" outlineLevel="0" collapsed="false">
      <c r="A17" s="7" t="s">
        <v>63</v>
      </c>
      <c r="B17" s="11" t="n">
        <v>150000</v>
      </c>
      <c r="C17" s="9" t="s">
        <v>41</v>
      </c>
      <c r="D17" s="9" t="s">
        <v>33</v>
      </c>
      <c r="E17" s="7" t="s">
        <v>62</v>
      </c>
    </row>
    <row r="18" customFormat="false" ht="15" hidden="false" customHeight="false" outlineLevel="0" collapsed="false">
      <c r="A18" s="7" t="s">
        <v>64</v>
      </c>
      <c r="B18" s="11" t="n">
        <v>110000</v>
      </c>
      <c r="C18" s="9" t="s">
        <v>41</v>
      </c>
      <c r="D18" s="9" t="s">
        <v>33</v>
      </c>
      <c r="E18" s="7" t="s">
        <v>65</v>
      </c>
    </row>
    <row r="20" customFormat="false" ht="15" hidden="false" customHeight="false" outlineLevel="0" collapsed="false">
      <c r="A20" s="15" t="s">
        <v>66</v>
      </c>
    </row>
    <row r="21" customFormat="false" ht="15" hidden="false" customHeight="false" outlineLevel="0" collapsed="false">
      <c r="A21" s="16" t="s">
        <v>67</v>
      </c>
      <c r="B21" s="17" t="s">
        <v>68</v>
      </c>
      <c r="E21" s="7" t="s">
        <v>69</v>
      </c>
    </row>
  </sheetData>
  <dataValidations count="1">
    <dataValidation allowBlank="false" errorStyle="stop" operator="between" showDropDown="false" showErrorMessage="false" showInputMessage="false" sqref="B21" type="list">
      <formula1>"Bear,Base,Bull"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5" t="s">
        <v>71</v>
      </c>
    </row>
    <row r="4" customFormat="false" ht="42" hidden="false" customHeight="true" outlineLevel="0" collapsed="false">
      <c r="A4" s="6" t="s">
        <v>72</v>
      </c>
      <c r="B4" s="6" t="s">
        <v>73</v>
      </c>
      <c r="C4" s="6" t="s">
        <v>74</v>
      </c>
      <c r="D4" s="6" t="s">
        <v>75</v>
      </c>
      <c r="E4" s="6" t="s">
        <v>76</v>
      </c>
      <c r="F4" s="6" t="s">
        <v>77</v>
      </c>
      <c r="G4" s="6" t="s">
        <v>78</v>
      </c>
      <c r="H4" s="6" t="s">
        <v>79</v>
      </c>
      <c r="I4" s="6" t="s">
        <v>80</v>
      </c>
      <c r="J4" s="6" t="s">
        <v>81</v>
      </c>
      <c r="K4" s="6" t="s">
        <v>82</v>
      </c>
    </row>
    <row r="5" customFormat="false" ht="15" hidden="false" customHeight="false" outlineLevel="0" collapsed="false">
      <c r="A5" s="16" t="s">
        <v>83</v>
      </c>
      <c r="B5" s="18" t="n">
        <v>5</v>
      </c>
      <c r="C5" s="19" t="n">
        <v>15000</v>
      </c>
      <c r="D5" s="20" t="n">
        <f aca="false">B5*C5/1000</f>
        <v>75</v>
      </c>
      <c r="E5" s="21" t="n">
        <v>40</v>
      </c>
      <c r="F5" s="19" t="n">
        <v>12000</v>
      </c>
      <c r="G5" s="19" t="n">
        <v>150000</v>
      </c>
      <c r="H5" s="20" t="n">
        <f aca="false">E5*F5*G5/1000000000</f>
        <v>72</v>
      </c>
      <c r="I5" s="20" t="n">
        <f aca="false">(D5+H5)*(1+1_Inputs!$B$14)</f>
        <v>264.6</v>
      </c>
      <c r="J5" s="21" t="n">
        <v>2030</v>
      </c>
      <c r="K5" s="22" t="s">
        <v>84</v>
      </c>
    </row>
    <row r="6" customFormat="false" ht="15" hidden="false" customHeight="false" outlineLevel="0" collapsed="false">
      <c r="A6" s="16" t="s">
        <v>85</v>
      </c>
      <c r="B6" s="18" t="n">
        <v>3</v>
      </c>
      <c r="C6" s="19" t="n">
        <v>15000</v>
      </c>
      <c r="D6" s="20" t="n">
        <f aca="false">B6*C6/1000</f>
        <v>45</v>
      </c>
      <c r="E6" s="21" t="n">
        <v>30</v>
      </c>
      <c r="F6" s="19" t="n">
        <v>10000</v>
      </c>
      <c r="G6" s="19" t="n">
        <v>150000</v>
      </c>
      <c r="H6" s="20" t="n">
        <f aca="false">E6*F6*G6/1000000000</f>
        <v>45</v>
      </c>
      <c r="I6" s="20" t="n">
        <f aca="false">(D6+H6)*(1+1_Inputs!$B$14)</f>
        <v>162</v>
      </c>
      <c r="J6" s="21" t="n">
        <v>2027</v>
      </c>
      <c r="K6" s="22" t="s">
        <v>84</v>
      </c>
    </row>
    <row r="7" customFormat="false" ht="15" hidden="false" customHeight="false" outlineLevel="0" collapsed="false">
      <c r="A7" s="16" t="s">
        <v>86</v>
      </c>
      <c r="B7" s="18" t="n">
        <v>2.8</v>
      </c>
      <c r="C7" s="19" t="n">
        <v>15000</v>
      </c>
      <c r="D7" s="20" t="n">
        <f aca="false">B7*C7/1000</f>
        <v>42</v>
      </c>
      <c r="E7" s="21" t="n">
        <v>35</v>
      </c>
      <c r="F7" s="19" t="n">
        <v>9000</v>
      </c>
      <c r="G7" s="19" t="n">
        <v>150000</v>
      </c>
      <c r="H7" s="20" t="n">
        <f aca="false">E7*F7*G7/1000000000</f>
        <v>47.25</v>
      </c>
      <c r="I7" s="20" t="n">
        <f aca="false">(D7+H7)*(1+1_Inputs!$B$14)</f>
        <v>160.65</v>
      </c>
      <c r="J7" s="21" t="n">
        <v>2030</v>
      </c>
      <c r="K7" s="22" t="s">
        <v>84</v>
      </c>
    </row>
    <row r="8" customFormat="false" ht="15" hidden="false" customHeight="false" outlineLevel="0" collapsed="false">
      <c r="A8" s="16" t="s">
        <v>87</v>
      </c>
      <c r="B8" s="18" t="n">
        <v>3.5</v>
      </c>
      <c r="C8" s="19" t="n">
        <v>15000</v>
      </c>
      <c r="D8" s="20" t="n">
        <f aca="false">B8*C8/1000</f>
        <v>52.5</v>
      </c>
      <c r="E8" s="21" t="n">
        <v>20</v>
      </c>
      <c r="F8" s="19" t="n">
        <v>7000</v>
      </c>
      <c r="G8" s="19" t="n">
        <v>150000</v>
      </c>
      <c r="H8" s="20" t="n">
        <f aca="false">E8*F8*G8/1000000000</f>
        <v>21</v>
      </c>
      <c r="I8" s="20" t="n">
        <f aca="false">(D8+H8)*(1+1_Inputs!$B$14)</f>
        <v>132.3</v>
      </c>
      <c r="J8" s="21" t="n">
        <v>2031</v>
      </c>
      <c r="K8" s="22" t="s">
        <v>84</v>
      </c>
    </row>
    <row r="9" customFormat="false" ht="15" hidden="false" customHeight="false" outlineLevel="0" collapsed="false">
      <c r="A9" s="16" t="s">
        <v>88</v>
      </c>
      <c r="D9" s="23" t="n">
        <f aca="false">SUM(D5:D8)</f>
        <v>214.5</v>
      </c>
      <c r="H9" s="23" t="n">
        <f aca="false">SUM(H5:H8)</f>
        <v>185.25</v>
      </c>
      <c r="I9" s="23" t="n">
        <f aca="false">SUM(I5:I8)</f>
        <v>719.55</v>
      </c>
    </row>
    <row r="10" customFormat="false" ht="15" hidden="false" customHeight="false" outlineLevel="0" collapsed="false">
      <c r="A10" s="16" t="s">
        <v>89</v>
      </c>
      <c r="I10" s="12" t="n">
        <v>455</v>
      </c>
    </row>
    <row r="11" customFormat="false" ht="15" hidden="false" customHeight="false" outlineLevel="0" collapsed="false">
      <c r="A11" s="16" t="s">
        <v>90</v>
      </c>
      <c r="I11" s="23" t="n">
        <f aca="false">I9+I10</f>
        <v>1174.55</v>
      </c>
    </row>
    <row r="12" customFormat="false" ht="15" hidden="false" customHeight="false" outlineLevel="0" collapsed="false">
      <c r="A12" s="16" t="s">
        <v>91</v>
      </c>
      <c r="I12" s="24" t="n">
        <f aca="false">1_Inputs!B5</f>
        <v>1174.9</v>
      </c>
    </row>
    <row r="13" customFormat="false" ht="15" hidden="false" customHeight="false" outlineLevel="0" collapsed="false">
      <c r="A13" s="16" t="s">
        <v>92</v>
      </c>
      <c r="I13" s="23" t="n">
        <f aca="false">I11-I12</f>
        <v>-0.350000000000136</v>
      </c>
      <c r="J13" s="25" t="str">
        <f aca="false">IF(ABS(I13)&lt;=I12*1_Inputs!B15,"OK","CHECK")</f>
        <v>OK</v>
      </c>
    </row>
    <row r="15" customFormat="false" ht="30" hidden="false" customHeight="true" outlineLevel="0" collapsed="false">
      <c r="A15" s="7" t="s">
        <v>93</v>
      </c>
      <c r="B15" s="7"/>
      <c r="C15" s="7"/>
      <c r="D15" s="7"/>
      <c r="E15" s="7"/>
      <c r="F15" s="7"/>
      <c r="G15" s="7"/>
      <c r="H15" s="7"/>
      <c r="I15" s="7"/>
      <c r="J15" s="7"/>
      <c r="K15" s="7"/>
    </row>
  </sheetData>
  <mergeCells count="1">
    <mergeCell ref="A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5" t="s">
        <v>95</v>
      </c>
    </row>
    <row r="4" customFormat="false" ht="15" hidden="false" customHeight="false" outlineLevel="0" collapsed="false">
      <c r="A4" s="6" t="s">
        <v>50</v>
      </c>
      <c r="B4" s="6" t="s">
        <v>96</v>
      </c>
      <c r="C4" s="6" t="s">
        <v>68</v>
      </c>
      <c r="D4" s="6" t="s">
        <v>97</v>
      </c>
      <c r="E4" s="6" t="s">
        <v>98</v>
      </c>
    </row>
    <row r="5" customFormat="false" ht="15" hidden="false" customHeight="false" outlineLevel="0" collapsed="false">
      <c r="A5" s="7" t="s">
        <v>99</v>
      </c>
      <c r="B5" s="13" t="n">
        <v>-0.1</v>
      </c>
      <c r="C5" s="13" t="n">
        <v>-0.03</v>
      </c>
      <c r="D5" s="13" t="n">
        <v>0.03</v>
      </c>
      <c r="E5" s="26" t="n">
        <f aca="false">INDEX(B5:D5,MATCH(1_Inputs!$B$21,$B$4:$D$4,0))</f>
        <v>-0.03</v>
      </c>
    </row>
    <row r="6" customFormat="false" ht="15" hidden="false" customHeight="false" outlineLevel="0" collapsed="false">
      <c r="A6" s="7" t="s">
        <v>100</v>
      </c>
      <c r="B6" s="13" t="n">
        <v>0</v>
      </c>
      <c r="C6" s="13" t="n">
        <v>0.08</v>
      </c>
      <c r="D6" s="13" t="n">
        <v>0.15</v>
      </c>
      <c r="E6" s="26" t="n">
        <f aca="false">INDEX(B6:D6,MATCH(1_Inputs!$B$21,$B$4:$D$4,0))</f>
        <v>0.08</v>
      </c>
    </row>
    <row r="7" customFormat="false" ht="15" hidden="false" customHeight="false" outlineLevel="0" collapsed="false">
      <c r="A7" s="7" t="s">
        <v>101</v>
      </c>
      <c r="B7" s="13" t="n">
        <v>0</v>
      </c>
      <c r="C7" s="13" t="n">
        <v>0.04</v>
      </c>
      <c r="D7" s="13" t="n">
        <v>0.07</v>
      </c>
      <c r="E7" s="26" t="n">
        <f aca="false">INDEX(B7:D7,MATCH(1_Inputs!$B$21,$B$4:$D$4,0))</f>
        <v>0.04</v>
      </c>
    </row>
    <row r="8" customFormat="false" ht="15" hidden="false" customHeight="false" outlineLevel="0" collapsed="false">
      <c r="A8" s="7" t="s">
        <v>102</v>
      </c>
      <c r="B8" s="13" t="n">
        <v>0.13</v>
      </c>
      <c r="C8" s="13" t="n">
        <v>0.156</v>
      </c>
      <c r="D8" s="13" t="n">
        <v>0.18</v>
      </c>
      <c r="E8" s="26" t="n">
        <f aca="false">INDEX(B8:D8,MATCH(1_Inputs!$B$21,$B$4:$D$4,0))</f>
        <v>0.156</v>
      </c>
    </row>
    <row r="9" customFormat="false" ht="15" hidden="false" customHeight="false" outlineLevel="0" collapsed="false">
      <c r="A9" s="7" t="s">
        <v>103</v>
      </c>
      <c r="B9" s="13" t="n">
        <v>0.11</v>
      </c>
      <c r="C9" s="13" t="n">
        <v>0.1</v>
      </c>
      <c r="D9" s="13" t="n">
        <v>0.09</v>
      </c>
      <c r="E9" s="26" t="n">
        <f aca="false">INDEX(B9:D9,MATCH(1_Inputs!$B$21,$B$4:$D$4,0))</f>
        <v>0.1</v>
      </c>
    </row>
    <row r="10" customFormat="false" ht="15" hidden="false" customHeight="false" outlineLevel="0" collapsed="false">
      <c r="A10" s="7" t="s">
        <v>104</v>
      </c>
      <c r="B10" s="27" t="s">
        <v>105</v>
      </c>
      <c r="C10" s="27" t="s">
        <v>84</v>
      </c>
      <c r="D10" s="27" t="s">
        <v>84</v>
      </c>
      <c r="E10" s="28" t="str">
        <f aca="false">INDEX(B10:D10,MATCH(1_Inputs!$B$21,$B$4:$D$4,0))</f>
        <v>Yes</v>
      </c>
    </row>
    <row r="13" customFormat="false" ht="15" hidden="false" customHeight="false" outlineLevel="0" collapsed="false">
      <c r="A13" s="15" t="s">
        <v>106</v>
      </c>
    </row>
    <row r="14" customFormat="false" ht="15" hidden="false" customHeight="false" outlineLevel="0" collapsed="false">
      <c r="A14" s="6"/>
      <c r="B14" s="6" t="s">
        <v>96</v>
      </c>
      <c r="C14" s="6" t="s">
        <v>68</v>
      </c>
      <c r="D14" s="6" t="s">
        <v>97</v>
      </c>
      <c r="E14" s="6"/>
    </row>
    <row r="15" customFormat="false" ht="15" hidden="false" customHeight="false" outlineLevel="0" collapsed="false">
      <c r="A15" s="7" t="s">
        <v>107</v>
      </c>
      <c r="B15" s="20" t="n">
        <f aca="false">(1+1_Inputs!$B$14)*((2_Artist_Drivers!$D$9-2_Artist_Drivers!$D$6*IF(AND(B$10="No",2026&gt;2_Artist_Drivers!$J$6),1,0))*(1+B$5)^1+(2_Artist_Drivers!$H$9-2_Artist_Drivers!$H$6*IF(AND(B$10="No",2026&gt;2_Artist_Drivers!$J$6),1,0))*(1+B$6)^1)+2_Artist_Drivers!$I$10*(1+B$7)^1</f>
        <v>1135.94</v>
      </c>
      <c r="C15" s="20" t="n">
        <f aca="false">(1+1_Inputs!$B$14)*((2_Artist_Drivers!$D$9-2_Artist_Drivers!$D$6*IF(AND(C$10="No",2026&gt;2_Artist_Drivers!$J$6),1,0))*(1+C$5)^1+(2_Artist_Drivers!$H$9-2_Artist_Drivers!$H$6*IF(AND(C$10="No",2026&gt;2_Artist_Drivers!$J$6),1,0))*(1+C$6)^1)+2_Artist_Drivers!$I$10*(1+C$7)^1</f>
        <v>1207.843</v>
      </c>
      <c r="D15" s="20" t="n">
        <f aca="false">(1+1_Inputs!$B$14)*((2_Artist_Drivers!$D$9-2_Artist_Drivers!$D$6*IF(AND(D$10="No",2026&gt;2_Artist_Drivers!$J$6),1,0))*(1+D$5)^1+(2_Artist_Drivers!$H$9-2_Artist_Drivers!$H$6*IF(AND(D$10="No",2026&gt;2_Artist_Drivers!$J$6),1,0))*(1+D$6)^1)+2_Artist_Drivers!$I$10*(1+D$7)^1</f>
        <v>1268.0005</v>
      </c>
    </row>
    <row r="16" customFormat="false" ht="15" hidden="false" customHeight="false" outlineLevel="0" collapsed="false">
      <c r="A16" s="7" t="s">
        <v>108</v>
      </c>
      <c r="B16" s="20" t="n">
        <f aca="false">(1+1_Inputs!$B$14)*((2_Artist_Drivers!$D$9-2_Artist_Drivers!$D$6*IF(AND(B$10="No",2027&gt;2_Artist_Drivers!$J$6),1,0))*(1+B$5)^2+(2_Artist_Drivers!$H$9-2_Artist_Drivers!$H$6*IF(AND(B$10="No",2027&gt;2_Artist_Drivers!$J$6),1,0))*(1+B$6)^2)+2_Artist_Drivers!$I$10*(1+B$7)^2</f>
        <v>1101.191</v>
      </c>
      <c r="C16" s="20" t="n">
        <f aca="false">(1+1_Inputs!$B$14)*((2_Artist_Drivers!$D$9-2_Artist_Drivers!$D$6*IF(AND(C$10="No",2027&gt;2_Artist_Drivers!$J$6),1,0))*(1+C$5)^2+(2_Artist_Drivers!$H$9-2_Artist_Drivers!$H$6*IF(AND(C$10="No",2027&gt;2_Artist_Drivers!$J$6),1,0))*(1+C$6)^2)+2_Artist_Drivers!$I$10*(1+C$7)^2</f>
        <v>1244.34557</v>
      </c>
      <c r="D16" s="20" t="n">
        <f aca="false">(1+1_Inputs!$B$14)*((2_Artist_Drivers!$D$9-2_Artist_Drivers!$D$6*IF(AND(D$10="No",2027&gt;2_Artist_Drivers!$J$6),1,0))*(1+D$5)^2+(2_Artist_Drivers!$H$9-2_Artist_Drivers!$H$6*IF(AND(D$10="No",2027&gt;2_Artist_Drivers!$J$6),1,0))*(1+D$6)^2)+2_Artist_Drivers!$I$10*(1+D$7)^2</f>
        <v>1371.530615</v>
      </c>
    </row>
    <row r="17" customFormat="false" ht="15" hidden="false" customHeight="false" outlineLevel="0" collapsed="false">
      <c r="A17" s="7" t="s">
        <v>109</v>
      </c>
      <c r="B17" s="20" t="n">
        <f aca="false">(1+1_Inputs!$B$14)*((2_Artist_Drivers!$D$9-2_Artist_Drivers!$D$6*IF(AND(B$10="No",2028&gt;2_Artist_Drivers!$J$6),1,0))*(1+B$5)^3+(2_Artist_Drivers!$H$9-2_Artist_Drivers!$H$6*IF(AND(B$10="No",2028&gt;2_Artist_Drivers!$J$6),1,0))*(1+B$6)^3)+2_Artist_Drivers!$I$10*(1+B$7)^3</f>
        <v>929.8679</v>
      </c>
      <c r="C17" s="20" t="n">
        <f aca="false">(1+1_Inputs!$B$14)*((2_Artist_Drivers!$D$9-2_Artist_Drivers!$D$6*IF(AND(C$10="No",2028&gt;2_Artist_Drivers!$J$6),1,0))*(1+C$5)^3+(2_Artist_Drivers!$H$9-2_Artist_Drivers!$H$6*IF(AND(C$10="No",2028&gt;2_Artist_Drivers!$J$6),1,0))*(1+C$6)^3)+2_Artist_Drivers!$I$10*(1+C$7)^3</f>
        <v>1284.2471317</v>
      </c>
      <c r="D17" s="20" t="n">
        <f aca="false">(1+1_Inputs!$B$14)*((2_Artist_Drivers!$D$9-2_Artist_Drivers!$D$6*IF(AND(D$10="No",2028&gt;2_Artist_Drivers!$J$6),1,0))*(1+D$5)^3+(2_Artist_Drivers!$H$9-2_Artist_Drivers!$H$6*IF(AND(D$10="No",2028&gt;2_Artist_Drivers!$J$6),1,0))*(1+D$6)^3)+2_Artist_Drivers!$I$10*(1+D$7)^3</f>
        <v>1486.43222845</v>
      </c>
    </row>
    <row r="18" customFormat="false" ht="15" hidden="false" customHeight="false" outlineLevel="0" collapsed="false">
      <c r="A18" s="7" t="s">
        <v>110</v>
      </c>
      <c r="B18" s="20" t="n">
        <f aca="false">(1+1_Inputs!$B$14)*((2_Artist_Drivers!$D$9-2_Artist_Drivers!$D$6*IF(AND(B$10="No",2029&gt;2_Artist_Drivers!$J$6),1,0))*(1+B$5)^4+(2_Artist_Drivers!$H$9-2_Artist_Drivers!$H$6*IF(AND(B$10="No",2029&gt;2_Artist_Drivers!$J$6),1,0))*(1+B$6)^4)+2_Artist_Drivers!$I$10*(1+B$7)^4</f>
        <v>907.62611</v>
      </c>
      <c r="C18" s="20" t="n">
        <f aca="false">(1+1_Inputs!$B$14)*((2_Artist_Drivers!$D$9-2_Artist_Drivers!$D$6*IF(AND(C$10="No",2029&gt;2_Artist_Drivers!$J$6),1,0))*(1+C$5)^4+(2_Artist_Drivers!$H$9-2_Artist_Drivers!$H$6*IF(AND(C$10="No",2029&gt;2_Artist_Drivers!$J$6),1,0))*(1+C$6)^4)+2_Artist_Drivers!$I$10*(1+C$7)^4</f>
        <v>1327.752242453</v>
      </c>
      <c r="D18" s="20" t="n">
        <f aca="false">(1+1_Inputs!$B$14)*((2_Artist_Drivers!$D$9-2_Artist_Drivers!$D$6*IF(AND(D$10="No",2029&gt;2_Artist_Drivers!$J$6),1,0))*(1+D$5)^4+(2_Artist_Drivers!$H$9-2_Artist_Drivers!$H$6*IF(AND(D$10="No",2029&gt;2_Artist_Drivers!$J$6),1,0))*(1+D$6)^4)+2_Artist_Drivers!$I$10*(1+D$7)^4</f>
        <v>1614.1772701535</v>
      </c>
    </row>
    <row r="19" customFormat="false" ht="15" hidden="false" customHeight="false" outlineLevel="0" collapsed="false">
      <c r="A19" s="7" t="s">
        <v>111</v>
      </c>
      <c r="B19" s="20" t="n">
        <f aca="false">(1+1_Inputs!$B$14)*((2_Artist_Drivers!$D$9-2_Artist_Drivers!$D$6*IF(AND(B$10="No",2030&gt;2_Artist_Drivers!$J$6),1,0))*(1+B$5)^5+(2_Artist_Drivers!$H$9-2_Artist_Drivers!$H$6*IF(AND(B$10="No",2030&gt;2_Artist_Drivers!$J$6),1,0))*(1+B$6)^5)+2_Artist_Drivers!$I$10*(1+B$7)^5</f>
        <v>887.608499</v>
      </c>
      <c r="C19" s="20" t="n">
        <f aca="false">(1+1_Inputs!$B$14)*((2_Artist_Drivers!$D$9-2_Artist_Drivers!$D$6*IF(AND(C$10="No",2030&gt;2_Artist_Drivers!$J$6),1,0))*(1+C$5)^5+(2_Artist_Drivers!$H$9-2_Artist_Drivers!$H$6*IF(AND(C$10="No",2030&gt;2_Artist_Drivers!$J$6),1,0))*(1+C$6)^5)+2_Artist_Drivers!$I$10*(1+C$7)^5</f>
        <v>1375.08172512373</v>
      </c>
      <c r="D19" s="20" t="n">
        <f aca="false">(1+1_Inputs!$B$14)*((2_Artist_Drivers!$D$9-2_Artist_Drivers!$D$6*IF(AND(D$10="No",2030&gt;2_Artist_Drivers!$J$6),1,0))*(1+D$5)^5+(2_Artist_Drivers!$H$9-2_Artist_Drivers!$H$6*IF(AND(D$10="No",2030&gt;2_Artist_Drivers!$J$6),1,0))*(1+D$6)^5)+2_Artist_Drivers!$I$10*(1+D$7)^5</f>
        <v>1756.44381172761</v>
      </c>
    </row>
    <row r="21" customFormat="false" ht="15" hidden="false" customHeight="false" outlineLevel="0" collapsed="false">
      <c r="A21" s="7" t="s">
        <v>112</v>
      </c>
      <c r="B21" s="20" t="n">
        <f aca="false">B15*B$8*(1-1_Inputs!$B$11)*1_Inputs!$B$12/(1+B$9)^1+B16*B$8*(1-1_Inputs!$B$11)*1_Inputs!$B$12/(1+B$9)^2+B17*B$8*(1-1_Inputs!$B$11)*1_Inputs!$B$12/(1+B$9)^3+B18*B$8*(1-1_Inputs!$B$11)*1_Inputs!$B$12/(1+B$9)^4+B19*B$8*(1-1_Inputs!$B$11)*1_Inputs!$B$12/(1+B$9)^5+B19*B$8*(1-1_Inputs!$B$11)*1_Inputs!$B$12*(1+1_Inputs!$B$13)/(B$9-1_Inputs!$B$13)/(1+B$9)^5</f>
        <v>766.018291860916</v>
      </c>
      <c r="C21" s="20" t="n">
        <f aca="false">C15*C$8*(1-1_Inputs!$B$11)*1_Inputs!$B$12/(1+C$9)^1+C16*C$8*(1-1_Inputs!$B$11)*1_Inputs!$B$12/(1+C$9)^2+C17*C$8*(1-1_Inputs!$B$11)*1_Inputs!$B$12/(1+C$9)^3+C18*C$8*(1-1_Inputs!$B$11)*1_Inputs!$B$12/(1+C$9)^4+C19*C$8*(1-1_Inputs!$B$11)*1_Inputs!$B$12/(1+C$9)^5+C19*C$8*(1-1_Inputs!$B$11)*1_Inputs!$B$12*(1+1_Inputs!$B$13)/(C$9-1_Inputs!$B$13)/(1+C$9)^5</f>
        <v>1492.73317900236</v>
      </c>
      <c r="D21" s="20" t="n">
        <f aca="false">D15*D$8*(1-1_Inputs!$B$11)*1_Inputs!$B$12/(1+D$9)^1+D16*D$8*(1-1_Inputs!$B$11)*1_Inputs!$B$12/(1+D$9)^2+D17*D$8*(1-1_Inputs!$B$11)*1_Inputs!$B$12/(1+D$9)^3+D18*D$8*(1-1_Inputs!$B$11)*1_Inputs!$B$12/(1+D$9)^4+D19*D$8*(1-1_Inputs!$B$11)*1_Inputs!$B$12/(1+D$9)^5+D19*D$8*(1-1_Inputs!$B$11)*1_Inputs!$B$12*(1+1_Inputs!$B$13)/(D$9-1_Inputs!$B$13)/(1+D$9)^5</f>
        <v>2449.79900685425</v>
      </c>
    </row>
    <row r="22" customFormat="false" ht="15" hidden="false" customHeight="false" outlineLevel="0" collapsed="false">
      <c r="A22" s="16" t="s">
        <v>113</v>
      </c>
      <c r="B22" s="29" t="n">
        <f aca="false">(B21+1_Inputs!$B$9)*1000/1_Inputs!$B$7</f>
        <v>33465.1940524647</v>
      </c>
      <c r="C22" s="29" t="n">
        <f aca="false">(C21+1_Inputs!$B$9)*1000/1_Inputs!$B$7</f>
        <v>65213.3324160052</v>
      </c>
      <c r="D22" s="29" t="n">
        <f aca="false">(D21+1_Inputs!$B$9)*1000/1_Inputs!$B$7</f>
        <v>107024.858316044</v>
      </c>
    </row>
    <row r="23" customFormat="false" ht="15" hidden="false" customHeight="false" outlineLevel="0" collapsed="false">
      <c r="A23" s="7" t="s">
        <v>114</v>
      </c>
      <c r="B23" s="25" t="str">
        <f aca="false">IF(ABS(INDEX(B22:D22,MATCH(1_Inputs!$B$21,B14:D14,0))-4_DCF!B28)&lt;1,"OK","CHECK")</f>
        <v>OK</v>
      </c>
    </row>
  </sheetData>
  <dataValidations count="1">
    <dataValidation allowBlank="false" errorStyle="stop" operator="between" showDropDown="false" showErrorMessage="false" showInputMessage="false" sqref="B10:D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5" t="s">
        <v>116</v>
      </c>
    </row>
    <row r="4" customFormat="false" ht="23.85" hidden="false" customHeight="false" outlineLevel="0" collapsed="false">
      <c r="A4" s="6"/>
      <c r="B4" s="6" t="s">
        <v>117</v>
      </c>
      <c r="C4" s="6" t="s">
        <v>118</v>
      </c>
      <c r="D4" s="6" t="s">
        <v>119</v>
      </c>
      <c r="E4" s="6" t="s">
        <v>120</v>
      </c>
      <c r="F4" s="6" t="s">
        <v>121</v>
      </c>
      <c r="G4" s="6" t="s">
        <v>122</v>
      </c>
    </row>
    <row r="5" customFormat="false" ht="15" hidden="false" customHeight="false" outlineLevel="0" collapsed="false">
      <c r="A5" s="16" t="s">
        <v>123</v>
      </c>
      <c r="B5" s="30" t="n">
        <v>0</v>
      </c>
      <c r="C5" s="30" t="n">
        <v>1</v>
      </c>
      <c r="D5" s="30" t="n">
        <v>2</v>
      </c>
      <c r="E5" s="30" t="n">
        <v>3</v>
      </c>
      <c r="F5" s="30" t="n">
        <v>4</v>
      </c>
      <c r="G5" s="30" t="n">
        <v>5</v>
      </c>
    </row>
    <row r="6" customFormat="false" ht="15" hidden="false" customHeight="false" outlineLevel="0" collapsed="false">
      <c r="A6" s="7" t="s">
        <v>124</v>
      </c>
      <c r="B6" s="30" t="n">
        <f aca="false">IF(OR(2_Artist_Drivers!$K$5="Yes",2025&lt;=2_Artist_Drivers!$J$5),1,0)</f>
        <v>1</v>
      </c>
      <c r="C6" s="30" t="n">
        <f aca="false">IF(OR(2_Artist_Drivers!$K$5="Yes",2026&lt;=2_Artist_Drivers!$J$5),1,0)</f>
        <v>1</v>
      </c>
      <c r="D6" s="30" t="n">
        <f aca="false">IF(OR(2_Artist_Drivers!$K$5="Yes",2027&lt;=2_Artist_Drivers!$J$5),1,0)</f>
        <v>1</v>
      </c>
      <c r="E6" s="30" t="n">
        <f aca="false">IF(OR(2_Artist_Drivers!$K$5="Yes",2028&lt;=2_Artist_Drivers!$J$5),1,0)</f>
        <v>1</v>
      </c>
      <c r="F6" s="30" t="n">
        <f aca="false">IF(OR(2_Artist_Drivers!$K$5="Yes",2029&lt;=2_Artist_Drivers!$J$5),1,0)</f>
        <v>1</v>
      </c>
      <c r="G6" s="30" t="n">
        <f aca="false">IF(OR(2_Artist_Drivers!$K$5="Yes",2030&lt;=2_Artist_Drivers!$J$5),1,0)</f>
        <v>1</v>
      </c>
    </row>
    <row r="7" customFormat="false" ht="15" hidden="false" customHeight="false" outlineLevel="0" collapsed="false">
      <c r="A7" s="16" t="s">
        <v>125</v>
      </c>
      <c r="B7" s="20" t="n">
        <f aca="false">(2_Artist_Drivers!$D$5*(1+3_Scenarios!$E$5)^B$5+2_Artist_Drivers!$H$5*(1+3_Scenarios!$E$6)^B$5)*(1+1_Inputs!$B$14)*B6</f>
        <v>264.6</v>
      </c>
      <c r="C7" s="20" t="n">
        <f aca="false">(2_Artist_Drivers!$D$5*(1+3_Scenarios!$E$5)^C$5+2_Artist_Drivers!$H$5*(1+3_Scenarios!$E$6)^C$5)*(1+1_Inputs!$B$14)*C6</f>
        <v>270.918</v>
      </c>
      <c r="D7" s="20" t="n">
        <f aca="false">(2_Artist_Drivers!$D$5*(1+3_Scenarios!$E$5)^D$5+2_Artist_Drivers!$H$5*(1+3_Scenarios!$E$6)^D$5)*(1+1_Inputs!$B$14)*D6</f>
        <v>278.18694</v>
      </c>
      <c r="E7" s="20" t="n">
        <f aca="false">(2_Artist_Drivers!$D$5*(1+3_Scenarios!$E$5)^E$5+2_Artist_Drivers!$H$5*(1+3_Scenarios!$E$6)^E$5)*(1+1_Inputs!$B$14)*E6</f>
        <v>286.4695302</v>
      </c>
      <c r="F7" s="20" t="n">
        <f aca="false">(2_Artist_Drivers!$D$5*(1+3_Scenarios!$E$5)^F$5+2_Artist_Drivers!$H$5*(1+3_Scenarios!$E$6)^F$5)*(1+1_Inputs!$B$14)*F6</f>
        <v>295.833898566</v>
      </c>
      <c r="G7" s="20" t="n">
        <f aca="false">(2_Artist_Drivers!$D$5*(1+3_Scenarios!$E$5)^G$5+2_Artist_Drivers!$H$5*(1+3_Scenarios!$E$6)^G$5)*(1+1_Inputs!$B$14)*G6</f>
        <v>306.35401222278</v>
      </c>
    </row>
    <row r="8" customFormat="false" ht="15" hidden="false" customHeight="false" outlineLevel="0" collapsed="false">
      <c r="A8" s="7" t="s">
        <v>126</v>
      </c>
      <c r="B8" s="30" t="n">
        <f aca="false">IF(OR(3_Scenarios!$E$10="Yes",2025&lt;=2_Artist_Drivers!$J$6),1,0)</f>
        <v>1</v>
      </c>
      <c r="C8" s="30" t="n">
        <f aca="false">IF(OR(3_Scenarios!$E$10="Yes",2026&lt;=2_Artist_Drivers!$J$6),1,0)</f>
        <v>1</v>
      </c>
      <c r="D8" s="30" t="n">
        <f aca="false">IF(OR(3_Scenarios!$E$10="Yes",2027&lt;=2_Artist_Drivers!$J$6),1,0)</f>
        <v>1</v>
      </c>
      <c r="E8" s="30" t="n">
        <f aca="false">IF(OR(3_Scenarios!$E$10="Yes",2028&lt;=2_Artist_Drivers!$J$6),1,0)</f>
        <v>1</v>
      </c>
      <c r="F8" s="30" t="n">
        <f aca="false">IF(OR(3_Scenarios!$E$10="Yes",2029&lt;=2_Artist_Drivers!$J$6),1,0)</f>
        <v>1</v>
      </c>
      <c r="G8" s="30" t="n">
        <f aca="false">IF(OR(3_Scenarios!$E$10="Yes",2030&lt;=2_Artist_Drivers!$J$6),1,0)</f>
        <v>1</v>
      </c>
    </row>
    <row r="9" customFormat="false" ht="15" hidden="false" customHeight="false" outlineLevel="0" collapsed="false">
      <c r="A9" s="16" t="s">
        <v>127</v>
      </c>
      <c r="B9" s="20" t="n">
        <f aca="false">(2_Artist_Drivers!$D$6*(1+3_Scenarios!$E$5)^B$5+2_Artist_Drivers!$H$6*(1+3_Scenarios!$E$6)^B$5)*(1+1_Inputs!$B$14)*B8</f>
        <v>162</v>
      </c>
      <c r="C9" s="20" t="n">
        <f aca="false">(2_Artist_Drivers!$D$6*(1+3_Scenarios!$E$5)^C$5+2_Artist_Drivers!$H$6*(1+3_Scenarios!$E$6)^C$5)*(1+1_Inputs!$B$14)*C8</f>
        <v>166.05</v>
      </c>
      <c r="D9" s="20" t="n">
        <f aca="false">(2_Artist_Drivers!$D$6*(1+3_Scenarios!$E$5)^D$5+2_Artist_Drivers!$H$6*(1+3_Scenarios!$E$6)^D$5)*(1+1_Inputs!$B$14)*D8</f>
        <v>170.6913</v>
      </c>
      <c r="E9" s="20" t="n">
        <f aca="false">(2_Artist_Drivers!$D$6*(1+3_Scenarios!$E$5)^E$5+2_Artist_Drivers!$H$6*(1+3_Scenarios!$E$6)^E$5)*(1+1_Inputs!$B$14)*E8</f>
        <v>175.963185</v>
      </c>
      <c r="F9" s="20" t="n">
        <f aca="false">(2_Artist_Drivers!$D$6*(1+3_Scenarios!$E$5)^F$5+2_Artist_Drivers!$H$6*(1+3_Scenarios!$E$6)^F$5)*(1+1_Inputs!$B$14)*F8</f>
        <v>181.90832337</v>
      </c>
      <c r="G9" s="20" t="n">
        <f aca="false">(2_Artist_Drivers!$D$6*(1+3_Scenarios!$E$5)^G$5+2_Artist_Drivers!$H$6*(1+3_Scenarios!$E$6)^G$5)*(1+1_Inputs!$B$14)*G8</f>
        <v>188.5730303025</v>
      </c>
    </row>
    <row r="10" customFormat="false" ht="15" hidden="false" customHeight="false" outlineLevel="0" collapsed="false">
      <c r="A10" s="7" t="s">
        <v>128</v>
      </c>
      <c r="B10" s="30" t="n">
        <f aca="false">IF(OR(2_Artist_Drivers!$K$7="Yes",2025&lt;=2_Artist_Drivers!$J$7),1,0)</f>
        <v>1</v>
      </c>
      <c r="C10" s="30" t="n">
        <f aca="false">IF(OR(2_Artist_Drivers!$K$7="Yes",2026&lt;=2_Artist_Drivers!$J$7),1,0)</f>
        <v>1</v>
      </c>
      <c r="D10" s="30" t="n">
        <f aca="false">IF(OR(2_Artist_Drivers!$K$7="Yes",2027&lt;=2_Artist_Drivers!$J$7),1,0)</f>
        <v>1</v>
      </c>
      <c r="E10" s="30" t="n">
        <f aca="false">IF(OR(2_Artist_Drivers!$K$7="Yes",2028&lt;=2_Artist_Drivers!$J$7),1,0)</f>
        <v>1</v>
      </c>
      <c r="F10" s="30" t="n">
        <f aca="false">IF(OR(2_Artist_Drivers!$K$7="Yes",2029&lt;=2_Artist_Drivers!$J$7),1,0)</f>
        <v>1</v>
      </c>
      <c r="G10" s="30" t="n">
        <f aca="false">IF(OR(2_Artist_Drivers!$K$7="Yes",2030&lt;=2_Artist_Drivers!$J$7),1,0)</f>
        <v>1</v>
      </c>
    </row>
    <row r="11" customFormat="false" ht="15" hidden="false" customHeight="false" outlineLevel="0" collapsed="false">
      <c r="A11" s="16" t="s">
        <v>129</v>
      </c>
      <c r="B11" s="20" t="n">
        <f aca="false">(2_Artist_Drivers!$D$7*(1+3_Scenarios!$E$5)^B$5+2_Artist_Drivers!$H$7*(1+3_Scenarios!$E$6)^B$5)*(1+1_Inputs!$B$14)*B10</f>
        <v>160.65</v>
      </c>
      <c r="C11" s="20" t="n">
        <f aca="false">(2_Artist_Drivers!$D$7*(1+3_Scenarios!$E$5)^C$5+2_Artist_Drivers!$H$7*(1+3_Scenarios!$E$6)^C$5)*(1+1_Inputs!$B$14)*C10</f>
        <v>165.186</v>
      </c>
      <c r="D11" s="20" t="n">
        <f aca="false">(2_Artist_Drivers!$D$7*(1+3_Scenarios!$E$5)^D$5+2_Artist_Drivers!$H$7*(1+3_Scenarios!$E$6)^D$5)*(1+1_Inputs!$B$14)*D10</f>
        <v>170.33436</v>
      </c>
      <c r="E11" s="20" t="n">
        <f aca="false">(2_Artist_Drivers!$D$7*(1+3_Scenarios!$E$5)^E$5+2_Artist_Drivers!$H$7*(1+3_Scenarios!$E$6)^E$5)*(1+1_Inputs!$B$14)*E10</f>
        <v>176.1365844</v>
      </c>
      <c r="F11" s="20" t="n">
        <f aca="false">(2_Artist_Drivers!$D$7*(1+3_Scenarios!$E$5)^F$5+2_Artist_Drivers!$H$7*(1+3_Scenarios!$E$6)^F$5)*(1+1_Inputs!$B$14)*F10</f>
        <v>182.637722484</v>
      </c>
      <c r="G11" s="20" t="n">
        <f aca="false">(2_Artist_Drivers!$D$7*(1+3_Scenarios!$E$5)^G$5+2_Artist_Drivers!$H$7*(1+3_Scenarios!$E$6)^G$5)*(1+1_Inputs!$B$14)*G10</f>
        <v>189.88664527476</v>
      </c>
    </row>
    <row r="12" customFormat="false" ht="15" hidden="false" customHeight="false" outlineLevel="0" collapsed="false">
      <c r="A12" s="7" t="s">
        <v>130</v>
      </c>
      <c r="B12" s="30" t="n">
        <f aca="false">IF(OR(2_Artist_Drivers!$K$8="Yes",2025&lt;=2_Artist_Drivers!$J$8),1,0)</f>
        <v>1</v>
      </c>
      <c r="C12" s="30" t="n">
        <f aca="false">IF(OR(2_Artist_Drivers!$K$8="Yes",2026&lt;=2_Artist_Drivers!$J$8),1,0)</f>
        <v>1</v>
      </c>
      <c r="D12" s="30" t="n">
        <f aca="false">IF(OR(2_Artist_Drivers!$K$8="Yes",2027&lt;=2_Artist_Drivers!$J$8),1,0)</f>
        <v>1</v>
      </c>
      <c r="E12" s="30" t="n">
        <f aca="false">IF(OR(2_Artist_Drivers!$K$8="Yes",2028&lt;=2_Artist_Drivers!$J$8),1,0)</f>
        <v>1</v>
      </c>
      <c r="F12" s="30" t="n">
        <f aca="false">IF(OR(2_Artist_Drivers!$K$8="Yes",2029&lt;=2_Artist_Drivers!$J$8),1,0)</f>
        <v>1</v>
      </c>
      <c r="G12" s="30" t="n">
        <f aca="false">IF(OR(2_Artist_Drivers!$K$8="Yes",2030&lt;=2_Artist_Drivers!$J$8),1,0)</f>
        <v>1</v>
      </c>
    </row>
    <row r="13" customFormat="false" ht="15" hidden="false" customHeight="false" outlineLevel="0" collapsed="false">
      <c r="A13" s="16" t="s">
        <v>131</v>
      </c>
      <c r="B13" s="20" t="n">
        <f aca="false">(2_Artist_Drivers!$D$8*(1+3_Scenarios!$E$5)^B$5+2_Artist_Drivers!$H$8*(1+3_Scenarios!$E$6)^B$5)*(1+1_Inputs!$B$14)*B12</f>
        <v>132.3</v>
      </c>
      <c r="C13" s="20" t="n">
        <f aca="false">(2_Artist_Drivers!$D$8*(1+3_Scenarios!$E$5)^C$5+2_Artist_Drivers!$H$8*(1+3_Scenarios!$E$6)^C$5)*(1+1_Inputs!$B$14)*C12</f>
        <v>132.489</v>
      </c>
      <c r="D13" s="20" t="n">
        <f aca="false">(2_Artist_Drivers!$D$8*(1+3_Scenarios!$E$5)^D$5+2_Artist_Drivers!$H$8*(1+3_Scenarios!$E$6)^D$5)*(1+1_Inputs!$B$14)*D12</f>
        <v>133.00497</v>
      </c>
      <c r="E13" s="20" t="n">
        <f aca="false">(2_Artist_Drivers!$D$8*(1+3_Scenarios!$E$5)^E$5+2_Artist_Drivers!$H$8*(1+3_Scenarios!$E$6)^E$5)*(1+1_Inputs!$B$14)*E12</f>
        <v>133.8647121</v>
      </c>
      <c r="F13" s="20" t="n">
        <f aca="false">(2_Artist_Drivers!$D$8*(1+3_Scenarios!$E$5)^F$5+2_Artist_Drivers!$H$8*(1+3_Scenarios!$E$6)^F$5)*(1+1_Inputs!$B$14)*F12</f>
        <v>135.086653233</v>
      </c>
      <c r="G13" s="20" t="n">
        <f aca="false">(2_Artist_Drivers!$D$8*(1+3_Scenarios!$E$5)^G$5+2_Artist_Drivers!$H$8*(1+3_Scenarios!$E$6)^G$5)*(1+1_Inputs!$B$14)*G12</f>
        <v>136.69096673169</v>
      </c>
    </row>
    <row r="14" customFormat="false" ht="15" hidden="false" customHeight="false" outlineLevel="0" collapsed="false">
      <c r="A14" s="16" t="s">
        <v>132</v>
      </c>
      <c r="B14" s="20" t="n">
        <f aca="false">2_Artist_Drivers!$I$10*(1+3_Scenarios!$E$7)^B$5</f>
        <v>455</v>
      </c>
      <c r="C14" s="20" t="n">
        <f aca="false">2_Artist_Drivers!$I$10*(1+3_Scenarios!$E$7)^C$5</f>
        <v>473.2</v>
      </c>
      <c r="D14" s="20" t="n">
        <f aca="false">2_Artist_Drivers!$I$10*(1+3_Scenarios!$E$7)^D$5</f>
        <v>492.128</v>
      </c>
      <c r="E14" s="20" t="n">
        <f aca="false">2_Artist_Drivers!$I$10*(1+3_Scenarios!$E$7)^E$5</f>
        <v>511.81312</v>
      </c>
      <c r="F14" s="20" t="n">
        <f aca="false">2_Artist_Drivers!$I$10*(1+3_Scenarios!$E$7)^F$5</f>
        <v>532.2856448</v>
      </c>
      <c r="G14" s="20" t="n">
        <f aca="false">2_Artist_Drivers!$I$10*(1+3_Scenarios!$E$7)^G$5</f>
        <v>553.577070592</v>
      </c>
    </row>
    <row r="15" customFormat="false" ht="15" hidden="false" customHeight="false" outlineLevel="0" collapsed="false">
      <c r="A15" s="16" t="s">
        <v>133</v>
      </c>
      <c r="B15" s="31" t="n">
        <f aca="false">B7+B9+B11+B13+B14</f>
        <v>1174.55</v>
      </c>
      <c r="C15" s="31" t="n">
        <f aca="false">C7+C9+C11+C13+C14</f>
        <v>1207.843</v>
      </c>
      <c r="D15" s="31" t="n">
        <f aca="false">D7+D9+D11+D13+D14</f>
        <v>1244.34557</v>
      </c>
      <c r="E15" s="31" t="n">
        <f aca="false">E7+E9+E11+E13+E14</f>
        <v>1284.2471317</v>
      </c>
      <c r="F15" s="31" t="n">
        <f aca="false">F7+F9+F11+F13+F14</f>
        <v>1327.752242453</v>
      </c>
      <c r="G15" s="31" t="n">
        <f aca="false">G7+G9+G11+G13+G14</f>
        <v>1375.08172512373</v>
      </c>
    </row>
    <row r="16" customFormat="false" ht="15" hidden="false" customHeight="false" outlineLevel="0" collapsed="false">
      <c r="A16" s="7" t="s">
        <v>134</v>
      </c>
      <c r="B16" s="24" t="n">
        <f aca="false">1_Inputs!B6</f>
        <v>183</v>
      </c>
      <c r="C16" s="20" t="n">
        <f aca="false">C15*3_Scenarios!$E$8</f>
        <v>188.423508</v>
      </c>
      <c r="D16" s="20" t="n">
        <f aca="false">D15*3_Scenarios!$E$8</f>
        <v>194.11790892</v>
      </c>
      <c r="E16" s="20" t="n">
        <f aca="false">E15*3_Scenarios!$E$8</f>
        <v>200.3425525452</v>
      </c>
      <c r="F16" s="20" t="n">
        <f aca="false">F15*3_Scenarios!$E$8</f>
        <v>207.129349822668</v>
      </c>
      <c r="G16" s="20" t="n">
        <f aca="false">G15*3_Scenarios!$E$8</f>
        <v>214.512749119302</v>
      </c>
    </row>
    <row r="17" customFormat="false" ht="15" hidden="false" customHeight="false" outlineLevel="0" collapsed="false">
      <c r="A17" s="7" t="s">
        <v>135</v>
      </c>
      <c r="C17" s="20" t="n">
        <f aca="false">C16*(1-1_Inputs!$B$11)</f>
        <v>143.20186608</v>
      </c>
      <c r="D17" s="20" t="n">
        <f aca="false">D16*(1-1_Inputs!$B$11)</f>
        <v>147.5296107792</v>
      </c>
      <c r="E17" s="20" t="n">
        <f aca="false">E16*(1-1_Inputs!$B$11)</f>
        <v>152.260339934352</v>
      </c>
      <c r="F17" s="20" t="n">
        <f aca="false">F16*(1-1_Inputs!$B$11)</f>
        <v>157.418305865228</v>
      </c>
      <c r="G17" s="20" t="n">
        <f aca="false">G16*(1-1_Inputs!$B$11)</f>
        <v>163.029689330669</v>
      </c>
    </row>
    <row r="18" customFormat="false" ht="15" hidden="false" customHeight="false" outlineLevel="0" collapsed="false">
      <c r="A18" s="7" t="s">
        <v>136</v>
      </c>
      <c r="C18" s="20" t="n">
        <f aca="false">C17*1_Inputs!$B$12</f>
        <v>114.561492864</v>
      </c>
      <c r="D18" s="20" t="n">
        <f aca="false">D17*1_Inputs!$B$12</f>
        <v>118.02368862336</v>
      </c>
      <c r="E18" s="20" t="n">
        <f aca="false">E17*1_Inputs!$B$12</f>
        <v>121.808271947482</v>
      </c>
      <c r="F18" s="20" t="n">
        <f aca="false">F17*1_Inputs!$B$12</f>
        <v>125.934644692182</v>
      </c>
      <c r="G18" s="20" t="n">
        <f aca="false">G17*1_Inputs!$B$12</f>
        <v>130.423751464536</v>
      </c>
    </row>
    <row r="19" customFormat="false" ht="15" hidden="false" customHeight="false" outlineLevel="0" collapsed="false">
      <c r="A19" s="7" t="s">
        <v>137</v>
      </c>
      <c r="C19" s="32" t="n">
        <f aca="false">1/(1+3_Scenarios!$E$9)^C$5</f>
        <v>0.909090909090909</v>
      </c>
      <c r="D19" s="32" t="n">
        <f aca="false">1/(1+3_Scenarios!$E$9)^D$5</f>
        <v>0.826446280991735</v>
      </c>
      <c r="E19" s="32" t="n">
        <f aca="false">1/(1+3_Scenarios!$E$9)^E$5</f>
        <v>0.751314800901578</v>
      </c>
      <c r="F19" s="32" t="n">
        <f aca="false">1/(1+3_Scenarios!$E$9)^F$5</f>
        <v>0.683013455365071</v>
      </c>
      <c r="G19" s="32" t="n">
        <f aca="false">1/(1+3_Scenarios!$E$9)^G$5</f>
        <v>0.620921323059155</v>
      </c>
    </row>
    <row r="20" customFormat="false" ht="15" hidden="false" customHeight="false" outlineLevel="0" collapsed="false">
      <c r="A20" s="7" t="s">
        <v>138</v>
      </c>
      <c r="C20" s="20" t="n">
        <f aca="false">C18*C19</f>
        <v>104.146811694545</v>
      </c>
      <c r="D20" s="20" t="n">
        <f aca="false">D18*D19</f>
        <v>97.5402385317025</v>
      </c>
      <c r="E20" s="20" t="n">
        <f aca="false">E18*E19</f>
        <v>91.5163575863874</v>
      </c>
      <c r="F20" s="20" t="n">
        <f aca="false">F18*F19</f>
        <v>86.0150568213798</v>
      </c>
      <c r="G20" s="20" t="n">
        <f aca="false">G18*G19</f>
        <v>80.9828883176978</v>
      </c>
    </row>
    <row r="22" customFormat="false" ht="15" hidden="false" customHeight="false" outlineLevel="0" collapsed="false">
      <c r="A22" s="7" t="s">
        <v>139</v>
      </c>
      <c r="B22" s="20" t="n">
        <f aca="false">SUM(C20:G20)</f>
        <v>460.201352951713</v>
      </c>
    </row>
    <row r="23" customFormat="false" ht="15" hidden="false" customHeight="false" outlineLevel="0" collapsed="false">
      <c r="A23" s="7" t="s">
        <v>140</v>
      </c>
      <c r="B23" s="20" t="n">
        <f aca="false">G18*(1+1_Inputs!B13)/(3_Scenarios!E9-1_Inputs!B13)</f>
        <v>1662.90283117283</v>
      </c>
    </row>
    <row r="24" customFormat="false" ht="15" hidden="false" customHeight="false" outlineLevel="0" collapsed="false">
      <c r="A24" s="7" t="s">
        <v>141</v>
      </c>
      <c r="B24" s="20" t="n">
        <f aca="false">B23*G19</f>
        <v>1032.53182605065</v>
      </c>
    </row>
    <row r="25" customFormat="false" ht="15" hidden="false" customHeight="false" outlineLevel="0" collapsed="false">
      <c r="A25" s="16" t="s">
        <v>112</v>
      </c>
      <c r="B25" s="23" t="n">
        <f aca="false">B22+B24</f>
        <v>1492.73317900236</v>
      </c>
    </row>
    <row r="26" customFormat="false" ht="15" hidden="false" customHeight="false" outlineLevel="0" collapsed="false">
      <c r="A26" s="7" t="s">
        <v>142</v>
      </c>
      <c r="B26" s="20" t="n">
        <f aca="false">1_Inputs!B9</f>
        <v>0</v>
      </c>
    </row>
    <row r="27" customFormat="false" ht="15" hidden="false" customHeight="false" outlineLevel="0" collapsed="false">
      <c r="A27" s="16" t="s">
        <v>143</v>
      </c>
      <c r="B27" s="23" t="n">
        <f aca="false">B25+B26</f>
        <v>1492.73317900236</v>
      </c>
    </row>
    <row r="28" customFormat="false" ht="15" hidden="false" customHeight="false" outlineLevel="0" collapsed="false">
      <c r="A28" s="16" t="s">
        <v>113</v>
      </c>
      <c r="B28" s="29" t="n">
        <f aca="false">B27*1000/1_Inputs!B7</f>
        <v>65213.3324160052</v>
      </c>
    </row>
    <row r="29" customFormat="false" ht="15" hidden="false" customHeight="false" outlineLevel="0" collapsed="false">
      <c r="A29" s="7" t="s">
        <v>144</v>
      </c>
      <c r="B29" s="33" t="n">
        <f aca="false">1_Inputs!B8</f>
        <v>82500</v>
      </c>
    </row>
    <row r="30" customFormat="false" ht="15" hidden="false" customHeight="false" outlineLevel="0" collapsed="false">
      <c r="A30" s="7" t="s">
        <v>145</v>
      </c>
      <c r="B30" s="34" t="n">
        <f aca="false">B28/B29-1</f>
        <v>-0.209535364654482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5" t="s">
        <v>147</v>
      </c>
    </row>
    <row r="4" customFormat="false" ht="15" hidden="false" customHeight="false" outlineLevel="0" collapsed="false">
      <c r="A4" s="6" t="s">
        <v>148</v>
      </c>
      <c r="B4" s="6" t="s">
        <v>149</v>
      </c>
      <c r="C4" s="6" t="s">
        <v>150</v>
      </c>
      <c r="D4" s="6" t="s">
        <v>151</v>
      </c>
    </row>
    <row r="5" customFormat="false" ht="15" hidden="false" customHeight="false" outlineLevel="0" collapsed="false">
      <c r="A5" s="16" t="s">
        <v>152</v>
      </c>
      <c r="B5" s="35" t="n">
        <v>15</v>
      </c>
      <c r="C5" s="35" t="n">
        <v>25</v>
      </c>
      <c r="D5" s="7" t="s">
        <v>153</v>
      </c>
    </row>
    <row r="6" customFormat="false" ht="15" hidden="false" customHeight="false" outlineLevel="0" collapsed="false">
      <c r="A6" s="16" t="s">
        <v>154</v>
      </c>
      <c r="B6" s="35" t="n">
        <v>13</v>
      </c>
      <c r="C6" s="35" t="n">
        <v>20</v>
      </c>
      <c r="D6" s="7" t="s">
        <v>153</v>
      </c>
    </row>
    <row r="7" customFormat="false" ht="15" hidden="false" customHeight="false" outlineLevel="0" collapsed="false">
      <c r="A7" s="16" t="s">
        <v>155</v>
      </c>
      <c r="B7" s="35" t="n">
        <v>12</v>
      </c>
      <c r="C7" s="35" t="n">
        <v>22</v>
      </c>
      <c r="D7" s="7" t="s">
        <v>153</v>
      </c>
    </row>
    <row r="8" customFormat="false" ht="15" hidden="false" customHeight="false" outlineLevel="0" collapsed="false">
      <c r="A8" s="16" t="s">
        <v>156</v>
      </c>
      <c r="B8" s="36" t="n">
        <f aca="false">MEDIAN(B5:B7)</f>
        <v>13</v>
      </c>
      <c r="C8" s="36" t="n">
        <f aca="false">MEDIAN(C5:C7)</f>
        <v>22</v>
      </c>
    </row>
    <row r="10" customFormat="false" ht="23.85" hidden="false" customHeight="false" outlineLevel="0" collapsed="false">
      <c r="A10" s="7" t="s">
        <v>157</v>
      </c>
      <c r="B10" s="20" t="n">
        <f aca="false">1_Inputs!B6+1_Inputs!B10</f>
        <v>243</v>
      </c>
    </row>
    <row r="11" customFormat="false" ht="23.85" hidden="false" customHeight="false" outlineLevel="0" collapsed="false">
      <c r="A11" s="7" t="s">
        <v>158</v>
      </c>
      <c r="B11" s="20" t="n">
        <f aca="false">1_Inputs!B6*(1-1_Inputs!B11)</f>
        <v>139.08</v>
      </c>
      <c r="D11" s="7" t="s">
        <v>159</v>
      </c>
    </row>
    <row r="13" customFormat="false" ht="15" hidden="false" customHeight="false" outlineLevel="0" collapsed="false">
      <c r="A13" s="7" t="s">
        <v>160</v>
      </c>
      <c r="B13" s="20" t="n">
        <f aca="false">B8*B10</f>
        <v>3159</v>
      </c>
    </row>
    <row r="14" customFormat="false" ht="23.85" hidden="false" customHeight="false" outlineLevel="0" collapsed="false">
      <c r="A14" s="7" t="s">
        <v>161</v>
      </c>
      <c r="B14" s="20" t="n">
        <f aca="false">B13+1_Inputs!B9</f>
        <v>3159</v>
      </c>
    </row>
    <row r="15" customFormat="false" ht="23.85" hidden="false" customHeight="false" outlineLevel="0" collapsed="false">
      <c r="A15" s="16" t="s">
        <v>162</v>
      </c>
      <c r="B15" s="29" t="n">
        <f aca="false">B14*1000/1_Inputs!B7</f>
        <v>138007.863695937</v>
      </c>
    </row>
    <row r="17" customFormat="false" ht="15" hidden="false" customHeight="false" outlineLevel="0" collapsed="false">
      <c r="A17" s="7" t="s">
        <v>163</v>
      </c>
      <c r="B17" s="20" t="n">
        <f aca="false">C8*B11</f>
        <v>3059.76</v>
      </c>
    </row>
    <row r="18" customFormat="false" ht="15" hidden="false" customHeight="false" outlineLevel="0" collapsed="false">
      <c r="A18" s="16" t="s">
        <v>164</v>
      </c>
      <c r="B18" s="29" t="n">
        <f aca="false">B17*1000/1_Inputs!B7</f>
        <v>133672.346002621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5" min="4" style="0" width="40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5" t="s">
        <v>166</v>
      </c>
    </row>
    <row r="4" customFormat="false" ht="15" hidden="false" customHeight="false" outlineLevel="0" collapsed="false">
      <c r="A4" s="16" t="s">
        <v>144</v>
      </c>
      <c r="B4" s="37" t="n">
        <f aca="false">1_Inputs!B8</f>
        <v>82500</v>
      </c>
    </row>
    <row r="5" customFormat="false" ht="15" hidden="false" customHeight="false" outlineLevel="0" collapsed="false">
      <c r="A5" s="7" t="s">
        <v>167</v>
      </c>
      <c r="B5" s="24" t="n">
        <f aca="false">1_Inputs!B5</f>
        <v>1174.9</v>
      </c>
    </row>
    <row r="6" customFormat="false" ht="15" hidden="false" customHeight="false" outlineLevel="0" collapsed="false">
      <c r="A6" s="7" t="s">
        <v>168</v>
      </c>
      <c r="B6" s="38" t="n">
        <f aca="false">3_Scenarios!E8</f>
        <v>0.156</v>
      </c>
    </row>
    <row r="7" customFormat="false" ht="15" hidden="false" customHeight="false" outlineLevel="0" collapsed="false">
      <c r="A7" s="7" t="s">
        <v>169</v>
      </c>
      <c r="B7" s="38" t="n">
        <f aca="false">3_Scenarios!E9</f>
        <v>0.1</v>
      </c>
    </row>
    <row r="9" customFormat="false" ht="23.85" hidden="false" customHeight="false" outlineLevel="0" collapsed="false">
      <c r="A9" s="6" t="s">
        <v>170</v>
      </c>
      <c r="B9" s="6" t="s">
        <v>113</v>
      </c>
      <c r="D9" s="39" t="s">
        <v>171</v>
      </c>
      <c r="E9" s="40"/>
    </row>
    <row r="10" customFormat="false" ht="15" hidden="false" customHeight="false" outlineLevel="0" collapsed="false">
      <c r="A10" s="34" t="n">
        <v>-0.15</v>
      </c>
      <c r="B10" s="33" t="n">
        <f aca="false">($B$5*(1+A10)^1*$B$6*(1-1_Inputs!$B$11)*1_Inputs!$B$12/(1+$B$7)^1+$B$5*(1+A10)^2*$B$6*(1-1_Inputs!$B$11)*1_Inputs!$B$12/(1+$B$7)^2+$B$5*(1+A10)^3*$B$6*(1-1_Inputs!$B$11)*1_Inputs!$B$12/(1+$B$7)^3+$B$5*(1+A10)^4*$B$6*(1-1_Inputs!$B$11)*1_Inputs!$B$12/(1+$B$7)^4+$B$5*(1+A10)^5*$B$6*(1-1_Inputs!$B$11)*1_Inputs!$B$12/(1+$B$7)^5+$B$5*(1+A10)^5*$B$6*(1-1_Inputs!$B$11)*1_Inputs!$B$12*(1+1_Inputs!$B$13)/($B$7-1_Inputs!$B$13)/(1+$B$7)^5+1_Inputs!$B$9)*1000/1_Inputs!$B$7</f>
        <v>29093.2718446645</v>
      </c>
      <c r="D10" s="16" t="s">
        <v>172</v>
      </c>
      <c r="E10" s="26" t="n">
        <f aca="false">IFERROR(INDEX($A$10:$A$40,MATCH($B$4,$B$10:$B$40,1))+($B$4-INDEX($B$10:$B$40,MATCH($B$4,$B$10:$B$40,1)))/(INDEX($B$10:$B$40,MATCH($B$4,$B$10:$B$40,1)+1)-INDEX($B$10:$B$40,MATCH($B$4,$B$10:$B$40,1)))*(INDEX($A$10:$A$40,MATCH($B$4,$B$10:$B$40,1)+1)-INDEX($A$10:$A$40,MATCH($B$4,$B$10:$B$40,1))),"outside -15% to +15%")</f>
        <v>0.0885290066649675</v>
      </c>
    </row>
    <row r="11" customFormat="false" ht="15" hidden="false" customHeight="false" outlineLevel="0" collapsed="false">
      <c r="A11" s="34" t="n">
        <v>-0.14</v>
      </c>
      <c r="B11" s="33" t="n">
        <f aca="false">($B$5*(1+A11)^1*$B$6*(1-1_Inputs!$B$11)*1_Inputs!$B$12/(1+$B$7)^1+$B$5*(1+A11)^2*$B$6*(1-1_Inputs!$B$11)*1_Inputs!$B$12/(1+$B$7)^2+$B$5*(1+A11)^3*$B$6*(1-1_Inputs!$B$11)*1_Inputs!$B$12/(1+$B$7)^3+$B$5*(1+A11)^4*$B$6*(1-1_Inputs!$B$11)*1_Inputs!$B$12/(1+$B$7)^4+$B$5*(1+A11)^5*$B$6*(1-1_Inputs!$B$11)*1_Inputs!$B$12/(1+$B$7)^5+$B$5*(1+A11)^5*$B$6*(1-1_Inputs!$B$11)*1_Inputs!$B$12*(1+1_Inputs!$B$13)/($B$7-1_Inputs!$B$13)/(1+$B$7)^5+1_Inputs!$B$9)*1000/1_Inputs!$B$7</f>
        <v>30480.3567667963</v>
      </c>
      <c r="D11" s="7" t="s">
        <v>173</v>
      </c>
      <c r="E11" s="34" t="n">
        <f aca="false">(4_DCF!G15/4_DCF!B15)^(1/5)-1</f>
        <v>0.0320278096769144</v>
      </c>
    </row>
    <row r="12" customFormat="false" ht="15" hidden="false" customHeight="false" outlineLevel="0" collapsed="false">
      <c r="A12" s="34" t="n">
        <v>-0.13</v>
      </c>
      <c r="B12" s="33" t="n">
        <f aca="false">($B$5*(1+A12)^1*$B$6*(1-1_Inputs!$B$11)*1_Inputs!$B$12/(1+$B$7)^1+$B$5*(1+A12)^2*$B$6*(1-1_Inputs!$B$11)*1_Inputs!$B$12/(1+$B$7)^2+$B$5*(1+A12)^3*$B$6*(1-1_Inputs!$B$11)*1_Inputs!$B$12/(1+$B$7)^3+$B$5*(1+A12)^4*$B$6*(1-1_Inputs!$B$11)*1_Inputs!$B$12/(1+$B$7)^4+$B$5*(1+A12)^5*$B$6*(1-1_Inputs!$B$11)*1_Inputs!$B$12/(1+$B$7)^5+$B$5*(1+A12)^5*$B$6*(1-1_Inputs!$B$11)*1_Inputs!$B$12*(1+1_Inputs!$B$13)/($B$7-1_Inputs!$B$13)/(1+$B$7)^5+1_Inputs!$B$9)*1000/1_Inputs!$B$7</f>
        <v>31925.9632248231</v>
      </c>
      <c r="D12" s="7" t="s">
        <v>174</v>
      </c>
      <c r="E12" s="34" t="n">
        <f aca="false">IFERROR(E10-E11,"n/a")</f>
        <v>0.0565011969880531</v>
      </c>
    </row>
    <row r="13" customFormat="false" ht="15" hidden="false" customHeight="false" outlineLevel="0" collapsed="false">
      <c r="A13" s="34" t="n">
        <v>-0.12</v>
      </c>
      <c r="B13" s="33" t="n">
        <f aca="false">($B$5*(1+A13)^1*$B$6*(1-1_Inputs!$B$11)*1_Inputs!$B$12/(1+$B$7)^1+$B$5*(1+A13)^2*$B$6*(1-1_Inputs!$B$11)*1_Inputs!$B$12/(1+$B$7)^2+$B$5*(1+A13)^3*$B$6*(1-1_Inputs!$B$11)*1_Inputs!$B$12/(1+$B$7)^3+$B$5*(1+A13)^4*$B$6*(1-1_Inputs!$B$11)*1_Inputs!$B$12/(1+$B$7)^4+$B$5*(1+A13)^5*$B$6*(1-1_Inputs!$B$11)*1_Inputs!$B$12/(1+$B$7)^5+$B$5*(1+A13)^5*$B$6*(1-1_Inputs!$B$11)*1_Inputs!$B$12*(1+1_Inputs!$B$13)/($B$7-1_Inputs!$B$13)/(1+$B$7)^5+1_Inputs!$B$9)*1000/1_Inputs!$B$7</f>
        <v>33432.0482333526</v>
      </c>
      <c r="D13" s="7" t="s">
        <v>175</v>
      </c>
      <c r="E13" s="9" t="str">
        <f aca="false">IFERROR(IF(E12&lt;0,"Market assumes less growth than the model","Market assumes more growth than the model"),"n/a")</f>
        <v>Market assumes more growth than the model</v>
      </c>
    </row>
    <row r="14" customFormat="false" ht="15" hidden="false" customHeight="false" outlineLevel="0" collapsed="false">
      <c r="A14" s="34" t="n">
        <v>-0.11</v>
      </c>
      <c r="B14" s="33" t="n">
        <f aca="false">($B$5*(1+A14)^1*$B$6*(1-1_Inputs!$B$11)*1_Inputs!$B$12/(1+$B$7)^1+$B$5*(1+A14)^2*$B$6*(1-1_Inputs!$B$11)*1_Inputs!$B$12/(1+$B$7)^2+$B$5*(1+A14)^3*$B$6*(1-1_Inputs!$B$11)*1_Inputs!$B$12/(1+$B$7)^3+$B$5*(1+A14)^4*$B$6*(1-1_Inputs!$B$11)*1_Inputs!$B$12/(1+$B$7)^4+$B$5*(1+A14)^5*$B$6*(1-1_Inputs!$B$11)*1_Inputs!$B$12/(1+$B$7)^5+$B$5*(1+A14)^5*$B$6*(1-1_Inputs!$B$11)*1_Inputs!$B$12*(1+1_Inputs!$B$13)/($B$7-1_Inputs!$B$13)/(1+$B$7)^5+1_Inputs!$B$9)*1000/1_Inputs!$B$7</f>
        <v>35000.612998369</v>
      </c>
    </row>
    <row r="15" customFormat="false" ht="15" hidden="false" customHeight="true" outlineLevel="0" collapsed="false">
      <c r="A15" s="34" t="n">
        <v>-0.1</v>
      </c>
      <c r="B15" s="33" t="n">
        <f aca="false">($B$5*(1+A15)^1*$B$6*(1-1_Inputs!$B$11)*1_Inputs!$B$12/(1+$B$7)^1+$B$5*(1+A15)^2*$B$6*(1-1_Inputs!$B$11)*1_Inputs!$B$12/(1+$B$7)^2+$B$5*(1+A15)^3*$B$6*(1-1_Inputs!$B$11)*1_Inputs!$B$12/(1+$B$7)^3+$B$5*(1+A15)^4*$B$6*(1-1_Inputs!$B$11)*1_Inputs!$B$12/(1+$B$7)^4+$B$5*(1+A15)^5*$B$6*(1-1_Inputs!$B$11)*1_Inputs!$B$12/(1+$B$7)^5+$B$5*(1+A15)^5*$B$6*(1-1_Inputs!$B$11)*1_Inputs!$B$12*(1+1_Inputs!$B$13)/($B$7-1_Inputs!$B$13)/(1+$B$7)^5+1_Inputs!$B$9)*1000/1_Inputs!$B$7</f>
        <v>36633.7034160072</v>
      </c>
      <c r="D15" s="41" t="s">
        <v>176</v>
      </c>
      <c r="E15" s="41"/>
    </row>
    <row r="16" customFormat="false" ht="15" hidden="false" customHeight="false" outlineLevel="0" collapsed="false">
      <c r="A16" s="34" t="n">
        <v>-0.09</v>
      </c>
      <c r="B16" s="33" t="n">
        <f aca="false">($B$5*(1+A16)^1*$B$6*(1-1_Inputs!$B$11)*1_Inputs!$B$12/(1+$B$7)^1+$B$5*(1+A16)^2*$B$6*(1-1_Inputs!$B$11)*1_Inputs!$B$12/(1+$B$7)^2+$B$5*(1+A16)^3*$B$6*(1-1_Inputs!$B$11)*1_Inputs!$B$12/(1+$B$7)^3+$B$5*(1+A16)^4*$B$6*(1-1_Inputs!$B$11)*1_Inputs!$B$12/(1+$B$7)^4+$B$5*(1+A16)^5*$B$6*(1-1_Inputs!$B$11)*1_Inputs!$B$12/(1+$B$7)^5+$B$5*(1+A16)^5*$B$6*(1-1_Inputs!$B$11)*1_Inputs!$B$12*(1+1_Inputs!$B$13)/($B$7-1_Inputs!$B$13)/(1+$B$7)^5+1_Inputs!$B$9)*1000/1_Inputs!$B$7</f>
        <v>38333.4105713264</v>
      </c>
      <c r="D16" s="41"/>
      <c r="E16" s="41"/>
    </row>
    <row r="17" customFormat="false" ht="15" hidden="false" customHeight="false" outlineLevel="0" collapsed="false">
      <c r="A17" s="34" t="n">
        <v>-0.08</v>
      </c>
      <c r="B17" s="33" t="n">
        <f aca="false">($B$5*(1+A17)^1*$B$6*(1-1_Inputs!$B$11)*1_Inputs!$B$12/(1+$B$7)^1+$B$5*(1+A17)^2*$B$6*(1-1_Inputs!$B$11)*1_Inputs!$B$12/(1+$B$7)^2+$B$5*(1+A17)^3*$B$6*(1-1_Inputs!$B$11)*1_Inputs!$B$12/(1+$B$7)^3+$B$5*(1+A17)^4*$B$6*(1-1_Inputs!$B$11)*1_Inputs!$B$12/(1+$B$7)^4+$B$5*(1+A17)^5*$B$6*(1-1_Inputs!$B$11)*1_Inputs!$B$12/(1+$B$7)^5+$B$5*(1+A17)^5*$B$6*(1-1_Inputs!$B$11)*1_Inputs!$B$12*(1+1_Inputs!$B$13)/($B$7-1_Inputs!$B$13)/(1+$B$7)^5+1_Inputs!$B$9)*1000/1_Inputs!$B$7</f>
        <v>40101.8712370841</v>
      </c>
    </row>
    <row r="18" customFormat="false" ht="15" hidden="false" customHeight="false" outlineLevel="0" collapsed="false">
      <c r="A18" s="34" t="n">
        <v>-0.07</v>
      </c>
      <c r="B18" s="33" t="n">
        <f aca="false">($B$5*(1+A18)^1*$B$6*(1-1_Inputs!$B$11)*1_Inputs!$B$12/(1+$B$7)^1+$B$5*(1+A18)^2*$B$6*(1-1_Inputs!$B$11)*1_Inputs!$B$12/(1+$B$7)^2+$B$5*(1+A18)^3*$B$6*(1-1_Inputs!$B$11)*1_Inputs!$B$12/(1+$B$7)^3+$B$5*(1+A18)^4*$B$6*(1-1_Inputs!$B$11)*1_Inputs!$B$12/(1+$B$7)^4+$B$5*(1+A18)^5*$B$6*(1-1_Inputs!$B$11)*1_Inputs!$B$12/(1+$B$7)^5+$B$5*(1+A18)^5*$B$6*(1-1_Inputs!$B$11)*1_Inputs!$B$12*(1+1_Inputs!$B$13)/($B$7-1_Inputs!$B$13)/(1+$B$7)^5+1_Inputs!$B$9)*1000/1_Inputs!$B$7</f>
        <v>41941.2683725107</v>
      </c>
    </row>
    <row r="19" customFormat="false" ht="15" hidden="false" customHeight="false" outlineLevel="0" collapsed="false">
      <c r="A19" s="34" t="n">
        <v>-0.06</v>
      </c>
      <c r="B19" s="33" t="n">
        <f aca="false">($B$5*(1+A19)^1*$B$6*(1-1_Inputs!$B$11)*1_Inputs!$B$12/(1+$B$7)^1+$B$5*(1+A19)^2*$B$6*(1-1_Inputs!$B$11)*1_Inputs!$B$12/(1+$B$7)^2+$B$5*(1+A19)^3*$B$6*(1-1_Inputs!$B$11)*1_Inputs!$B$12/(1+$B$7)^3+$B$5*(1+A19)^4*$B$6*(1-1_Inputs!$B$11)*1_Inputs!$B$12/(1+$B$7)^4+$B$5*(1+A19)^5*$B$6*(1-1_Inputs!$B$11)*1_Inputs!$B$12/(1+$B$7)^5+$B$5*(1+A19)^5*$B$6*(1-1_Inputs!$B$11)*1_Inputs!$B$12*(1+1_Inputs!$B$13)/($B$7-1_Inputs!$B$13)/(1+$B$7)^5+1_Inputs!$B$9)*1000/1_Inputs!$B$7</f>
        <v>43853.8316220826</v>
      </c>
    </row>
    <row r="20" customFormat="false" ht="15" hidden="false" customHeight="false" outlineLevel="0" collapsed="false">
      <c r="A20" s="34" t="n">
        <v>-0.05</v>
      </c>
      <c r="B20" s="33" t="n">
        <f aca="false">($B$5*(1+A20)^1*$B$6*(1-1_Inputs!$B$11)*1_Inputs!$B$12/(1+$B$7)^1+$B$5*(1+A20)^2*$B$6*(1-1_Inputs!$B$11)*1_Inputs!$B$12/(1+$B$7)^2+$B$5*(1+A20)^3*$B$6*(1-1_Inputs!$B$11)*1_Inputs!$B$12/(1+$B$7)^3+$B$5*(1+A20)^4*$B$6*(1-1_Inputs!$B$11)*1_Inputs!$B$12/(1+$B$7)^4+$B$5*(1+A20)^5*$B$6*(1-1_Inputs!$B$11)*1_Inputs!$B$12/(1+$B$7)^5+$B$5*(1+A20)^5*$B$6*(1-1_Inputs!$B$11)*1_Inputs!$B$12*(1+1_Inputs!$B$13)/($B$7-1_Inputs!$B$13)/(1+$B$7)^5+1_Inputs!$B$9)*1000/1_Inputs!$B$7</f>
        <v>45841.8378142969</v>
      </c>
    </row>
    <row r="21" customFormat="false" ht="15" hidden="false" customHeight="false" outlineLevel="0" collapsed="false">
      <c r="A21" s="34" t="n">
        <v>-0.04</v>
      </c>
      <c r="B21" s="33" t="n">
        <f aca="false">($B$5*(1+A21)^1*$B$6*(1-1_Inputs!$B$11)*1_Inputs!$B$12/(1+$B$7)^1+$B$5*(1+A21)^2*$B$6*(1-1_Inputs!$B$11)*1_Inputs!$B$12/(1+$B$7)^2+$B$5*(1+A21)^3*$B$6*(1-1_Inputs!$B$11)*1_Inputs!$B$12/(1+$B$7)^3+$B$5*(1+A21)^4*$B$6*(1-1_Inputs!$B$11)*1_Inputs!$B$12/(1+$B$7)^4+$B$5*(1+A21)^5*$B$6*(1-1_Inputs!$B$11)*1_Inputs!$B$12/(1+$B$7)^5+$B$5*(1+A21)^5*$B$6*(1-1_Inputs!$B$11)*1_Inputs!$B$12*(1+1_Inputs!$B$13)/($B$7-1_Inputs!$B$13)/(1+$B$7)^5+1_Inputs!$B$9)*1000/1_Inputs!$B$7</f>
        <v>47907.6114604453</v>
      </c>
    </row>
    <row r="22" customFormat="false" ht="15" hidden="false" customHeight="false" outlineLevel="0" collapsed="false">
      <c r="A22" s="34" t="n">
        <v>-0.03</v>
      </c>
      <c r="B22" s="33" t="n">
        <f aca="false">($B$5*(1+A22)^1*$B$6*(1-1_Inputs!$B$11)*1_Inputs!$B$12/(1+$B$7)^1+$B$5*(1+A22)^2*$B$6*(1-1_Inputs!$B$11)*1_Inputs!$B$12/(1+$B$7)^2+$B$5*(1+A22)^3*$B$6*(1-1_Inputs!$B$11)*1_Inputs!$B$12/(1+$B$7)^3+$B$5*(1+A22)^4*$B$6*(1-1_Inputs!$B$11)*1_Inputs!$B$12/(1+$B$7)^4+$B$5*(1+A22)^5*$B$6*(1-1_Inputs!$B$11)*1_Inputs!$B$12/(1+$B$7)^5+$B$5*(1+A22)^5*$B$6*(1-1_Inputs!$B$11)*1_Inputs!$B$12*(1+1_Inputs!$B$13)/($B$7-1_Inputs!$B$13)/(1+$B$7)^5+1_Inputs!$B$9)*1000/1_Inputs!$B$7</f>
        <v>50053.5252533876</v>
      </c>
    </row>
    <row r="23" customFormat="false" ht="15" hidden="false" customHeight="false" outlineLevel="0" collapsed="false">
      <c r="A23" s="34" t="n">
        <v>-0.02</v>
      </c>
      <c r="B23" s="33" t="n">
        <f aca="false">($B$5*(1+A23)^1*$B$6*(1-1_Inputs!$B$11)*1_Inputs!$B$12/(1+$B$7)^1+$B$5*(1+A23)^2*$B$6*(1-1_Inputs!$B$11)*1_Inputs!$B$12/(1+$B$7)^2+$B$5*(1+A23)^3*$B$6*(1-1_Inputs!$B$11)*1_Inputs!$B$12/(1+$B$7)^3+$B$5*(1+A23)^4*$B$6*(1-1_Inputs!$B$11)*1_Inputs!$B$12/(1+$B$7)^4+$B$5*(1+A23)^5*$B$6*(1-1_Inputs!$B$11)*1_Inputs!$B$12/(1+$B$7)^5+$B$5*(1+A23)^5*$B$6*(1-1_Inputs!$B$11)*1_Inputs!$B$12*(1+1_Inputs!$B$13)/($B$7-1_Inputs!$B$13)/(1+$B$7)^5+1_Inputs!$B$9)*1000/1_Inputs!$B$7</f>
        <v>52282.0005663264</v>
      </c>
    </row>
    <row r="24" customFormat="false" ht="15" hidden="false" customHeight="false" outlineLevel="0" collapsed="false">
      <c r="A24" s="34" t="n">
        <v>-0.01</v>
      </c>
      <c r="B24" s="33" t="n">
        <f aca="false">($B$5*(1+A24)^1*$B$6*(1-1_Inputs!$B$11)*1_Inputs!$B$12/(1+$B$7)^1+$B$5*(1+A24)^2*$B$6*(1-1_Inputs!$B$11)*1_Inputs!$B$12/(1+$B$7)^2+$B$5*(1+A24)^3*$B$6*(1-1_Inputs!$B$11)*1_Inputs!$B$12/(1+$B$7)^3+$B$5*(1+A24)^4*$B$6*(1-1_Inputs!$B$11)*1_Inputs!$B$12/(1+$B$7)^4+$B$5*(1+A24)^5*$B$6*(1-1_Inputs!$B$11)*1_Inputs!$B$12/(1+$B$7)^5+$B$5*(1+A24)^5*$B$6*(1-1_Inputs!$B$11)*1_Inputs!$B$12*(1+1_Inputs!$B$13)/($B$7-1_Inputs!$B$13)/(1+$B$7)^5+1_Inputs!$B$9)*1000/1_Inputs!$B$7</f>
        <v>54595.5079515806</v>
      </c>
    </row>
    <row r="25" customFormat="false" ht="15" hidden="false" customHeight="false" outlineLevel="0" collapsed="false">
      <c r="A25" s="34" t="n">
        <v>0</v>
      </c>
      <c r="B25" s="33" t="n">
        <f aca="false">($B$5*(1+A25)^1*$B$6*(1-1_Inputs!$B$11)*1_Inputs!$B$12/(1+$B$7)^1+$B$5*(1+A25)^2*$B$6*(1-1_Inputs!$B$11)*1_Inputs!$B$12/(1+$B$7)^2+$B$5*(1+A25)^3*$B$6*(1-1_Inputs!$B$11)*1_Inputs!$B$12/(1+$B$7)^3+$B$5*(1+A25)^4*$B$6*(1-1_Inputs!$B$11)*1_Inputs!$B$12/(1+$B$7)^4+$B$5*(1+A25)^5*$B$6*(1-1_Inputs!$B$11)*1_Inputs!$B$12/(1+$B$7)^5+$B$5*(1+A25)^5*$B$6*(1-1_Inputs!$B$11)*1_Inputs!$B$12*(1+1_Inputs!$B$13)/($B$7-1_Inputs!$B$13)/(1+$B$7)^5+1_Inputs!$B$9)*1000/1_Inputs!$B$7</f>
        <v>56996.5676393596</v>
      </c>
    </row>
    <row r="26" customFormat="false" ht="15" hidden="false" customHeight="false" outlineLevel="0" collapsed="false">
      <c r="A26" s="34" t="n">
        <v>0.01</v>
      </c>
      <c r="B26" s="33" t="n">
        <f aca="false">($B$5*(1+A26)^1*$B$6*(1-1_Inputs!$B$11)*1_Inputs!$B$12/(1+$B$7)^1+$B$5*(1+A26)^2*$B$6*(1-1_Inputs!$B$11)*1_Inputs!$B$12/(1+$B$7)^2+$B$5*(1+A26)^3*$B$6*(1-1_Inputs!$B$11)*1_Inputs!$B$12/(1+$B$7)^3+$B$5*(1+A26)^4*$B$6*(1-1_Inputs!$B$11)*1_Inputs!$B$12/(1+$B$7)^4+$B$5*(1+A26)^5*$B$6*(1-1_Inputs!$B$11)*1_Inputs!$B$12/(1+$B$7)^5+$B$5*(1+A26)^5*$B$6*(1-1_Inputs!$B$11)*1_Inputs!$B$12*(1+1_Inputs!$B$13)/($B$7-1_Inputs!$B$13)/(1+$B$7)^5+1_Inputs!$B$9)*1000/1_Inputs!$B$7</f>
        <v>59487.7500365373</v>
      </c>
    </row>
    <row r="27" customFormat="false" ht="15" hidden="false" customHeight="false" outlineLevel="0" collapsed="false">
      <c r="A27" s="34" t="n">
        <v>0.02</v>
      </c>
      <c r="B27" s="33" t="n">
        <f aca="false">($B$5*(1+A27)^1*$B$6*(1-1_Inputs!$B$11)*1_Inputs!$B$12/(1+$B$7)^1+$B$5*(1+A27)^2*$B$6*(1-1_Inputs!$B$11)*1_Inputs!$B$12/(1+$B$7)^2+$B$5*(1+A27)^3*$B$6*(1-1_Inputs!$B$11)*1_Inputs!$B$12/(1+$B$7)^3+$B$5*(1+A27)^4*$B$6*(1-1_Inputs!$B$11)*1_Inputs!$B$12/(1+$B$7)^4+$B$5*(1+A27)^5*$B$6*(1-1_Inputs!$B$11)*1_Inputs!$B$12/(1+$B$7)^5+$B$5*(1+A27)^5*$B$6*(1-1_Inputs!$B$11)*1_Inputs!$B$12*(1+1_Inputs!$B$13)/($B$7-1_Inputs!$B$13)/(1+$B$7)^5+1_Inputs!$B$9)*1000/1_Inputs!$B$7</f>
        <v>62071.6762254259</v>
      </c>
    </row>
    <row r="28" customFormat="false" ht="15" hidden="false" customHeight="false" outlineLevel="0" collapsed="false">
      <c r="A28" s="34" t="n">
        <v>0.03</v>
      </c>
      <c r="B28" s="33" t="n">
        <f aca="false">($B$5*(1+A28)^1*$B$6*(1-1_Inputs!$B$11)*1_Inputs!$B$12/(1+$B$7)^1+$B$5*(1+A28)^2*$B$6*(1-1_Inputs!$B$11)*1_Inputs!$B$12/(1+$B$7)^2+$B$5*(1+A28)^3*$B$6*(1-1_Inputs!$B$11)*1_Inputs!$B$12/(1+$B$7)^3+$B$5*(1+A28)^4*$B$6*(1-1_Inputs!$B$11)*1_Inputs!$B$12/(1+$B$7)^4+$B$5*(1+A28)^5*$B$6*(1-1_Inputs!$B$11)*1_Inputs!$B$12/(1+$B$7)^5+$B$5*(1+A28)^5*$B$6*(1-1_Inputs!$B$11)*1_Inputs!$B$12*(1+1_Inputs!$B$13)/($B$7-1_Inputs!$B$13)/(1+$B$7)^5+1_Inputs!$B$9)*1000/1_Inputs!$B$7</f>
        <v>64751.0184625505</v>
      </c>
    </row>
    <row r="29" customFormat="false" ht="15" hidden="false" customHeight="false" outlineLevel="0" collapsed="false">
      <c r="A29" s="34" t="n">
        <v>0.04</v>
      </c>
      <c r="B29" s="33" t="n">
        <f aca="false">($B$5*(1+A29)^1*$B$6*(1-1_Inputs!$B$11)*1_Inputs!$B$12/(1+$B$7)^1+$B$5*(1+A29)^2*$B$6*(1-1_Inputs!$B$11)*1_Inputs!$B$12/(1+$B$7)^2+$B$5*(1+A29)^3*$B$6*(1-1_Inputs!$B$11)*1_Inputs!$B$12/(1+$B$7)^3+$B$5*(1+A29)^4*$B$6*(1-1_Inputs!$B$11)*1_Inputs!$B$12/(1+$B$7)^4+$B$5*(1+A29)^5*$B$6*(1-1_Inputs!$B$11)*1_Inputs!$B$12/(1+$B$7)^5+$B$5*(1+A29)^5*$B$6*(1-1_Inputs!$B$11)*1_Inputs!$B$12*(1+1_Inputs!$B$13)/($B$7-1_Inputs!$B$13)/(1+$B$7)^5+1_Inputs!$B$9)*1000/1_Inputs!$B$7</f>
        <v>67528.5006774222</v>
      </c>
    </row>
    <row r="30" customFormat="false" ht="15" hidden="false" customHeight="false" outlineLevel="0" collapsed="false">
      <c r="A30" s="34" t="n">
        <v>0.05</v>
      </c>
      <c r="B30" s="33" t="n">
        <f aca="false">($B$5*(1+A30)^1*$B$6*(1-1_Inputs!$B$11)*1_Inputs!$B$12/(1+$B$7)^1+$B$5*(1+A30)^2*$B$6*(1-1_Inputs!$B$11)*1_Inputs!$B$12/(1+$B$7)^2+$B$5*(1+A30)^3*$B$6*(1-1_Inputs!$B$11)*1_Inputs!$B$12/(1+$B$7)^3+$B$5*(1+A30)^4*$B$6*(1-1_Inputs!$B$11)*1_Inputs!$B$12/(1+$B$7)^4+$B$5*(1+A30)^5*$B$6*(1-1_Inputs!$B$11)*1_Inputs!$B$12/(1+$B$7)^5+$B$5*(1+A30)^5*$B$6*(1-1_Inputs!$B$11)*1_Inputs!$B$12*(1+1_Inputs!$B$13)/($B$7-1_Inputs!$B$13)/(1+$B$7)^5+1_Inputs!$B$9)*1000/1_Inputs!$B$7</f>
        <v>70406.8989713128</v>
      </c>
    </row>
    <row r="31" customFormat="false" ht="15" hidden="false" customHeight="false" outlineLevel="0" collapsed="false">
      <c r="A31" s="34" t="n">
        <v>0.06</v>
      </c>
      <c r="B31" s="33" t="n">
        <f aca="false">($B$5*(1+A31)^1*$B$6*(1-1_Inputs!$B$11)*1_Inputs!$B$12/(1+$B$7)^1+$B$5*(1+A31)^2*$B$6*(1-1_Inputs!$B$11)*1_Inputs!$B$12/(1+$B$7)^2+$B$5*(1+A31)^3*$B$6*(1-1_Inputs!$B$11)*1_Inputs!$B$12/(1+$B$7)^3+$B$5*(1+A31)^4*$B$6*(1-1_Inputs!$B$11)*1_Inputs!$B$12/(1+$B$7)^4+$B$5*(1+A31)^5*$B$6*(1-1_Inputs!$B$11)*1_Inputs!$B$12/(1+$B$7)^5+$B$5*(1+A31)^5*$B$6*(1-1_Inputs!$B$11)*1_Inputs!$B$12*(1+1_Inputs!$B$13)/($B$7-1_Inputs!$B$13)/(1+$B$7)^5+1_Inputs!$B$9)*1000/1_Inputs!$B$7</f>
        <v>73389.0421160286</v>
      </c>
    </row>
    <row r="32" customFormat="false" ht="15" hidden="false" customHeight="false" outlineLevel="0" collapsed="false">
      <c r="A32" s="34" t="n">
        <v>0.07</v>
      </c>
      <c r="B32" s="33" t="n">
        <f aca="false">($B$5*(1+A32)^1*$B$6*(1-1_Inputs!$B$11)*1_Inputs!$B$12/(1+$B$7)^1+$B$5*(1+A32)^2*$B$6*(1-1_Inputs!$B$11)*1_Inputs!$B$12/(1+$B$7)^2+$B$5*(1+A32)^3*$B$6*(1-1_Inputs!$B$11)*1_Inputs!$B$12/(1+$B$7)^3+$B$5*(1+A32)^4*$B$6*(1-1_Inputs!$B$11)*1_Inputs!$B$12/(1+$B$7)^4+$B$5*(1+A32)^5*$B$6*(1-1_Inputs!$B$11)*1_Inputs!$B$12/(1+$B$7)^5+$B$5*(1+A32)^5*$B$6*(1-1_Inputs!$B$11)*1_Inputs!$B$12*(1+1_Inputs!$B$13)/($B$7-1_Inputs!$B$13)/(1+$B$7)^5+1_Inputs!$B$9)*1000/1_Inputs!$B$7</f>
        <v>76477.8120526842</v>
      </c>
    </row>
    <row r="33" customFormat="false" ht="15" hidden="false" customHeight="false" outlineLevel="0" collapsed="false">
      <c r="A33" s="34" t="n">
        <v>0.08</v>
      </c>
      <c r="B33" s="33" t="n">
        <f aca="false">($B$5*(1+A33)^1*$B$6*(1-1_Inputs!$B$11)*1_Inputs!$B$12/(1+$B$7)^1+$B$5*(1+A33)^2*$B$6*(1-1_Inputs!$B$11)*1_Inputs!$B$12/(1+$B$7)^2+$B$5*(1+A33)^3*$B$6*(1-1_Inputs!$B$11)*1_Inputs!$B$12/(1+$B$7)^3+$B$5*(1+A33)^4*$B$6*(1-1_Inputs!$B$11)*1_Inputs!$B$12/(1+$B$7)^4+$B$5*(1+A33)^5*$B$6*(1-1_Inputs!$B$11)*1_Inputs!$B$12/(1+$B$7)^5+$B$5*(1+A33)^5*$B$6*(1-1_Inputs!$B$11)*1_Inputs!$B$12*(1+1_Inputs!$B$13)/($B$7-1_Inputs!$B$13)/(1+$B$7)^5+1_Inputs!$B$9)*1000/1_Inputs!$B$7</f>
        <v>79676.1443904769</v>
      </c>
    </row>
    <row r="34" customFormat="false" ht="15" hidden="false" customHeight="false" outlineLevel="0" collapsed="false">
      <c r="A34" s="34" t="n">
        <v>0.09</v>
      </c>
      <c r="B34" s="33" t="n">
        <f aca="false">($B$5*(1+A34)^1*$B$6*(1-1_Inputs!$B$11)*1_Inputs!$B$12/(1+$B$7)^1+$B$5*(1+A34)^2*$B$6*(1-1_Inputs!$B$11)*1_Inputs!$B$12/(1+$B$7)^2+$B$5*(1+A34)^3*$B$6*(1-1_Inputs!$B$11)*1_Inputs!$B$12/(1+$B$7)^3+$B$5*(1+A34)^4*$B$6*(1-1_Inputs!$B$11)*1_Inputs!$B$12/(1+$B$7)^4+$B$5*(1+A34)^5*$B$6*(1-1_Inputs!$B$11)*1_Inputs!$B$12/(1+$B$7)^5+$B$5*(1+A34)^5*$B$6*(1-1_Inputs!$B$11)*1_Inputs!$B$12*(1+1_Inputs!$B$13)/($B$7-1_Inputs!$B$13)/(1+$B$7)^5+1_Inputs!$B$9)*1000/1_Inputs!$B$7</f>
        <v>82987.0289054603</v>
      </c>
    </row>
    <row r="35" customFormat="false" ht="15" hidden="false" customHeight="false" outlineLevel="0" collapsed="false">
      <c r="A35" s="34" t="n">
        <v>0.1</v>
      </c>
      <c r="B35" s="33" t="n">
        <f aca="false">($B$5*(1+A35)^1*$B$6*(1-1_Inputs!$B$11)*1_Inputs!$B$12/(1+$B$7)^1+$B$5*(1+A35)^2*$B$6*(1-1_Inputs!$B$11)*1_Inputs!$B$12/(1+$B$7)^2+$B$5*(1+A35)^3*$B$6*(1-1_Inputs!$B$11)*1_Inputs!$B$12/(1+$B$7)^3+$B$5*(1+A35)^4*$B$6*(1-1_Inputs!$B$11)*1_Inputs!$B$12/(1+$B$7)^4+$B$5*(1+A35)^5*$B$6*(1-1_Inputs!$B$11)*1_Inputs!$B$12/(1+$B$7)^5+$B$5*(1+A35)^5*$B$6*(1-1_Inputs!$B$11)*1_Inputs!$B$12*(1+1_Inputs!$B$13)/($B$7-1_Inputs!$B$13)/(1+$B$7)^5+1_Inputs!$B$9)*1000/1_Inputs!$B$7</f>
        <v>86413.5100393185</v>
      </c>
    </row>
    <row r="36" customFormat="false" ht="15" hidden="false" customHeight="false" outlineLevel="0" collapsed="false">
      <c r="A36" s="34" t="n">
        <v>0.11</v>
      </c>
      <c r="B36" s="33" t="n">
        <f aca="false">($B$5*(1+A36)^1*$B$6*(1-1_Inputs!$B$11)*1_Inputs!$B$12/(1+$B$7)^1+$B$5*(1+A36)^2*$B$6*(1-1_Inputs!$B$11)*1_Inputs!$B$12/(1+$B$7)^2+$B$5*(1+A36)^3*$B$6*(1-1_Inputs!$B$11)*1_Inputs!$B$12/(1+$B$7)^3+$B$5*(1+A36)^4*$B$6*(1-1_Inputs!$B$11)*1_Inputs!$B$12/(1+$B$7)^4+$B$5*(1+A36)^5*$B$6*(1-1_Inputs!$B$11)*1_Inputs!$B$12/(1+$B$7)^5+$B$5*(1+A36)^5*$B$6*(1-1_Inputs!$B$11)*1_Inputs!$B$12*(1+1_Inputs!$B$13)/($B$7-1_Inputs!$B$13)/(1+$B$7)^5+1_Inputs!$B$9)*1000/1_Inputs!$B$7</f>
        <v>89958.6873981402</v>
      </c>
    </row>
    <row r="37" customFormat="false" ht="15" hidden="false" customHeight="false" outlineLevel="0" collapsed="false">
      <c r="A37" s="34" t="n">
        <v>0.12</v>
      </c>
      <c r="B37" s="33" t="n">
        <f aca="false">($B$5*(1+A37)^1*$B$6*(1-1_Inputs!$B$11)*1_Inputs!$B$12/(1+$B$7)^1+$B$5*(1+A37)^2*$B$6*(1-1_Inputs!$B$11)*1_Inputs!$B$12/(1+$B$7)^2+$B$5*(1+A37)^3*$B$6*(1-1_Inputs!$B$11)*1_Inputs!$B$12/(1+$B$7)^3+$B$5*(1+A37)^4*$B$6*(1-1_Inputs!$B$11)*1_Inputs!$B$12/(1+$B$7)^4+$B$5*(1+A37)^5*$B$6*(1-1_Inputs!$B$11)*1_Inputs!$B$12/(1+$B$7)^5+$B$5*(1+A37)^5*$B$6*(1-1_Inputs!$B$11)*1_Inputs!$B$12*(1+1_Inputs!$B$13)/($B$7-1_Inputs!$B$13)/(1+$B$7)^5+1_Inputs!$B$9)*1000/1_Inputs!$B$7</f>
        <v>93625.7162511924</v>
      </c>
    </row>
    <row r="38" customFormat="false" ht="15" hidden="false" customHeight="false" outlineLevel="0" collapsed="false">
      <c r="A38" s="34" t="n">
        <v>0.13</v>
      </c>
      <c r="B38" s="33" t="n">
        <f aca="false">($B$5*(1+A38)^1*$B$6*(1-1_Inputs!$B$11)*1_Inputs!$B$12/(1+$B$7)^1+$B$5*(1+A38)^2*$B$6*(1-1_Inputs!$B$11)*1_Inputs!$B$12/(1+$B$7)^2+$B$5*(1+A38)^3*$B$6*(1-1_Inputs!$B$11)*1_Inputs!$B$12/(1+$B$7)^3+$B$5*(1+A38)^4*$B$6*(1-1_Inputs!$B$11)*1_Inputs!$B$12/(1+$B$7)^4+$B$5*(1+A38)^5*$B$6*(1-1_Inputs!$B$11)*1_Inputs!$B$12/(1+$B$7)^5+$B$5*(1+A38)^5*$B$6*(1-1_Inputs!$B$11)*1_Inputs!$B$12*(1+1_Inputs!$B$13)/($B$7-1_Inputs!$B$13)/(1+$B$7)^5+1_Inputs!$B$9)*1000/1_Inputs!$B$7</f>
        <v>97417.8080296948</v>
      </c>
    </row>
    <row r="39" customFormat="false" ht="15" hidden="false" customHeight="false" outlineLevel="0" collapsed="false">
      <c r="A39" s="34" t="n">
        <v>0.14</v>
      </c>
      <c r="B39" s="33" t="n">
        <f aca="false">($B$5*(1+A39)^1*$B$6*(1-1_Inputs!$B$11)*1_Inputs!$B$12/(1+$B$7)^1+$B$5*(1+A39)^2*$B$6*(1-1_Inputs!$B$11)*1_Inputs!$B$12/(1+$B$7)^2+$B$5*(1+A39)^3*$B$6*(1-1_Inputs!$B$11)*1_Inputs!$B$12/(1+$B$7)^3+$B$5*(1+A39)^4*$B$6*(1-1_Inputs!$B$11)*1_Inputs!$B$12/(1+$B$7)^4+$B$5*(1+A39)^5*$B$6*(1-1_Inputs!$B$11)*1_Inputs!$B$12/(1+$B$7)^5+$B$5*(1+A39)^5*$B$6*(1-1_Inputs!$B$11)*1_Inputs!$B$12*(1+1_Inputs!$B$13)/($B$7-1_Inputs!$B$13)/(1+$B$7)^5+1_Inputs!$B$9)*1000/1_Inputs!$B$7</f>
        <v>101338.230825593</v>
      </c>
    </row>
    <row r="40" customFormat="false" ht="15" hidden="false" customHeight="false" outlineLevel="0" collapsed="false">
      <c r="A40" s="34" t="n">
        <v>0.15</v>
      </c>
      <c r="B40" s="33" t="n">
        <f aca="false">($B$5*(1+A40)^1*$B$6*(1-1_Inputs!$B$11)*1_Inputs!$B$12/(1+$B$7)^1+$B$5*(1+A40)^2*$B$6*(1-1_Inputs!$B$11)*1_Inputs!$B$12/(1+$B$7)^2+$B$5*(1+A40)^3*$B$6*(1-1_Inputs!$B$11)*1_Inputs!$B$12/(1+$B$7)^3+$B$5*(1+A40)^4*$B$6*(1-1_Inputs!$B$11)*1_Inputs!$B$12/(1+$B$7)^4+$B$5*(1+A40)^5*$B$6*(1-1_Inputs!$B$11)*1_Inputs!$B$12/(1+$B$7)^5+$B$5*(1+A40)^5*$B$6*(1-1_Inputs!$B$11)*1_Inputs!$B$12*(1+1_Inputs!$B$13)/($B$7-1_Inputs!$B$13)/(1+$B$7)^5+1_Inputs!$B$9)*1000/1_Inputs!$B$7</f>
        <v>105390.309890335</v>
      </c>
    </row>
  </sheetData>
  <mergeCells count="1">
    <mergeCell ref="D15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0"/>
    <col collapsed="false" customWidth="true" hidden="false" outlineLevel="0" max="12" min="8" style="0" width="11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5" t="s">
        <v>178</v>
      </c>
    </row>
    <row r="4" customFormat="false" ht="30" hidden="false" customHeight="true" outlineLevel="0" collapsed="false">
      <c r="A4" s="6" t="s">
        <v>179</v>
      </c>
      <c r="B4" s="6" t="s">
        <v>180</v>
      </c>
      <c r="C4" s="6" t="s">
        <v>181</v>
      </c>
      <c r="D4" s="6" t="s">
        <v>182</v>
      </c>
      <c r="E4" s="6" t="s">
        <v>183</v>
      </c>
      <c r="F4" s="6" t="s">
        <v>184</v>
      </c>
      <c r="G4" s="6" t="s">
        <v>185</v>
      </c>
      <c r="H4" s="6" t="s">
        <v>186</v>
      </c>
      <c r="I4" s="6" t="s">
        <v>187</v>
      </c>
      <c r="J4" s="6" t="s">
        <v>188</v>
      </c>
      <c r="K4" s="6" t="s">
        <v>189</v>
      </c>
      <c r="L4" s="6" t="s">
        <v>190</v>
      </c>
      <c r="M4" s="6" t="s">
        <v>191</v>
      </c>
      <c r="N4" s="6" t="s">
        <v>192</v>
      </c>
    </row>
    <row r="5" customFormat="false" ht="15" hidden="false" customHeight="false" outlineLevel="0" collapsed="false">
      <c r="A5" s="16" t="s">
        <v>193</v>
      </c>
      <c r="B5" s="38" t="n">
        <f aca="false">3_Scenarios!$E$5</f>
        <v>-0.03</v>
      </c>
      <c r="C5" s="38" t="n">
        <f aca="false">3_Scenarios!$E$6</f>
        <v>0.08</v>
      </c>
      <c r="D5" s="38" t="n">
        <f aca="false">3_Scenarios!$E$7</f>
        <v>0.04</v>
      </c>
      <c r="E5" s="38" t="n">
        <f aca="false">3_Scenarios!$E$8</f>
        <v>0.156</v>
      </c>
      <c r="F5" s="38" t="n">
        <f aca="false">3_Scenarios!$E$9</f>
        <v>0.1</v>
      </c>
      <c r="G5" s="38" t="n">
        <f aca="false">1_Inputs!$B$13</f>
        <v>0.02</v>
      </c>
      <c r="H5" s="20" t="n">
        <f aca="false">(1+1_Inputs!$B$14)*((2_Artist_Drivers!$D$9-2_Artist_Drivers!$D$6*IF(AND(3_Scenarios!$E$10="No",2026&gt;2_Artist_Drivers!$J$6),1,0))*(1+$B5)^1+(2_Artist_Drivers!$H$9-2_Artist_Drivers!$H$6*IF(AND(3_Scenarios!$E$10="No",2026&gt;2_Artist_Drivers!$J$6),1,0))*(1+$C5)^1)+2_Artist_Drivers!$I$10*(1+$D5)^1</f>
        <v>1207.843</v>
      </c>
      <c r="I5" s="20" t="n">
        <f aca="false">(1+1_Inputs!$B$14)*((2_Artist_Drivers!$D$9-2_Artist_Drivers!$D$6*IF(AND(3_Scenarios!$E$10="No",2027&gt;2_Artist_Drivers!$J$6),1,0))*(1+$B5)^2+(2_Artist_Drivers!$H$9-2_Artist_Drivers!$H$6*IF(AND(3_Scenarios!$E$10="No",2027&gt;2_Artist_Drivers!$J$6),1,0))*(1+$C5)^2)+2_Artist_Drivers!$I$10*(1+$D5)^2</f>
        <v>1244.34557</v>
      </c>
      <c r="J5" s="20" t="n">
        <f aca="false">(1+1_Inputs!$B$14)*((2_Artist_Drivers!$D$9-2_Artist_Drivers!$D$6*IF(AND(3_Scenarios!$E$10="No",2028&gt;2_Artist_Drivers!$J$6),1,0))*(1+$B5)^3+(2_Artist_Drivers!$H$9-2_Artist_Drivers!$H$6*IF(AND(3_Scenarios!$E$10="No",2028&gt;2_Artist_Drivers!$J$6),1,0))*(1+$C5)^3)+2_Artist_Drivers!$I$10*(1+$D5)^3</f>
        <v>1284.2471317</v>
      </c>
      <c r="K5" s="20" t="n">
        <f aca="false">(1+1_Inputs!$B$14)*((2_Artist_Drivers!$D$9-2_Artist_Drivers!$D$6*IF(AND(3_Scenarios!$E$10="No",2029&gt;2_Artist_Drivers!$J$6),1,0))*(1+$B5)^4+(2_Artist_Drivers!$H$9-2_Artist_Drivers!$H$6*IF(AND(3_Scenarios!$E$10="No",2029&gt;2_Artist_Drivers!$J$6),1,0))*(1+$C5)^4)+2_Artist_Drivers!$I$10*(1+$D5)^4</f>
        <v>1327.752242453</v>
      </c>
      <c r="L5" s="20" t="n">
        <f aca="false">(1+1_Inputs!$B$14)*((2_Artist_Drivers!$D$9-2_Artist_Drivers!$D$6*IF(AND(3_Scenarios!$E$10="No",2030&gt;2_Artist_Drivers!$J$6),1,0))*(1+$B5)^5+(2_Artist_Drivers!$H$9-2_Artist_Drivers!$H$6*IF(AND(3_Scenarios!$E$10="No",2030&gt;2_Artist_Drivers!$J$6),1,0))*(1+$C5)^5)+2_Artist_Drivers!$I$10*(1+$D5)^5</f>
        <v>1375.08172512373</v>
      </c>
      <c r="M5" s="20" t="n">
        <f aca="false">H5*$E5*(1-1_Inputs!$B$11)*1_Inputs!$B$12/(1+$F5)^1+I5*$E5*(1-1_Inputs!$B$11)*1_Inputs!$B$12/(1+$F5)^2+J5*$E5*(1-1_Inputs!$B$11)*1_Inputs!$B$12/(1+$F5)^3+K5*$E5*(1-1_Inputs!$B$11)*1_Inputs!$B$12/(1+$F5)^4+L5*$E5*(1-1_Inputs!$B$11)*1_Inputs!$B$12/(1+$F5)^5+L5*$E5*(1-1_Inputs!$B$11)*1_Inputs!$B$12*(1+$G5)/($F5-$G5)/(1+$F5)^5</f>
        <v>1492.73317900236</v>
      </c>
      <c r="N5" s="29" t="n">
        <f aca="false">(M5+1_Inputs!$B$9)*1000/1_Inputs!$B$7</f>
        <v>65213.3324160052</v>
      </c>
    </row>
    <row r="6" customFormat="false" ht="15" hidden="false" customHeight="false" outlineLevel="0" collapsed="false">
      <c r="A6" s="7" t="s">
        <v>194</v>
      </c>
      <c r="B6" s="38" t="n">
        <f aca="false">3_Scenarios!$E$5</f>
        <v>-0.03</v>
      </c>
      <c r="C6" s="38" t="n">
        <f aca="false">3_Scenarios!$E$6</f>
        <v>0.08</v>
      </c>
      <c r="D6" s="38" t="n">
        <f aca="false">3_Scenarios!$E$7</f>
        <v>0.04</v>
      </c>
      <c r="E6" s="38" t="n">
        <f aca="false">3_Scenarios!$E$8</f>
        <v>0.156</v>
      </c>
      <c r="F6" s="13" t="n">
        <f aca="false">3_Scenarios!$E$9-0.01</f>
        <v>0.09</v>
      </c>
      <c r="G6" s="38" t="n">
        <f aca="false">1_Inputs!$B$13</f>
        <v>0.02</v>
      </c>
      <c r="H6" s="20" t="n">
        <f aca="false">(1+1_Inputs!$B$14)*((2_Artist_Drivers!$D$9-2_Artist_Drivers!$D$6*IF(AND(3_Scenarios!$E$10="No",2026&gt;2_Artist_Drivers!$J$6),1,0))*(1+$B6)^1+(2_Artist_Drivers!$H$9-2_Artist_Drivers!$H$6*IF(AND(3_Scenarios!$E$10="No",2026&gt;2_Artist_Drivers!$J$6),1,0))*(1+$C6)^1)+2_Artist_Drivers!$I$10*(1+$D6)^1</f>
        <v>1207.843</v>
      </c>
      <c r="I6" s="20" t="n">
        <f aca="false">(1+1_Inputs!$B$14)*((2_Artist_Drivers!$D$9-2_Artist_Drivers!$D$6*IF(AND(3_Scenarios!$E$10="No",2027&gt;2_Artist_Drivers!$J$6),1,0))*(1+$B6)^2+(2_Artist_Drivers!$H$9-2_Artist_Drivers!$H$6*IF(AND(3_Scenarios!$E$10="No",2027&gt;2_Artist_Drivers!$J$6),1,0))*(1+$C6)^2)+2_Artist_Drivers!$I$10*(1+$D6)^2</f>
        <v>1244.34557</v>
      </c>
      <c r="J6" s="20" t="n">
        <f aca="false">(1+1_Inputs!$B$14)*((2_Artist_Drivers!$D$9-2_Artist_Drivers!$D$6*IF(AND(3_Scenarios!$E$10="No",2028&gt;2_Artist_Drivers!$J$6),1,0))*(1+$B6)^3+(2_Artist_Drivers!$H$9-2_Artist_Drivers!$H$6*IF(AND(3_Scenarios!$E$10="No",2028&gt;2_Artist_Drivers!$J$6),1,0))*(1+$C6)^3)+2_Artist_Drivers!$I$10*(1+$D6)^3</f>
        <v>1284.2471317</v>
      </c>
      <c r="K6" s="20" t="n">
        <f aca="false">(1+1_Inputs!$B$14)*((2_Artist_Drivers!$D$9-2_Artist_Drivers!$D$6*IF(AND(3_Scenarios!$E$10="No",2029&gt;2_Artist_Drivers!$J$6),1,0))*(1+$B6)^4+(2_Artist_Drivers!$H$9-2_Artist_Drivers!$H$6*IF(AND(3_Scenarios!$E$10="No",2029&gt;2_Artist_Drivers!$J$6),1,0))*(1+$C6)^4)+2_Artist_Drivers!$I$10*(1+$D6)^4</f>
        <v>1327.752242453</v>
      </c>
      <c r="L6" s="20" t="n">
        <f aca="false">(1+1_Inputs!$B$14)*((2_Artist_Drivers!$D$9-2_Artist_Drivers!$D$6*IF(AND(3_Scenarios!$E$10="No",2030&gt;2_Artist_Drivers!$J$6),1,0))*(1+$B6)^5+(2_Artist_Drivers!$H$9-2_Artist_Drivers!$H$6*IF(AND(3_Scenarios!$E$10="No",2030&gt;2_Artist_Drivers!$J$6),1,0))*(1+$C6)^5)+2_Artist_Drivers!$I$10*(1+$D6)^5</f>
        <v>1375.08172512373</v>
      </c>
      <c r="M6" s="20" t="n">
        <f aca="false">H6*$E6*(1-1_Inputs!$B$11)*1_Inputs!$B$12/(1+$F6)^1+I6*$E6*(1-1_Inputs!$B$11)*1_Inputs!$B$12/(1+$F6)^2+J6*$E6*(1-1_Inputs!$B$11)*1_Inputs!$B$12/(1+$F6)^3+K6*$E6*(1-1_Inputs!$B$11)*1_Inputs!$B$12/(1+$F6)^4+L6*$E6*(1-1_Inputs!$B$11)*1_Inputs!$B$12/(1+$F6)^5+L6*$E6*(1-1_Inputs!$B$11)*1_Inputs!$B$12*(1+$G6)/($F6-$G6)/(1+$F6)^5</f>
        <v>1707.64941504437</v>
      </c>
      <c r="N6" s="29" t="n">
        <f aca="false">(M6+1_Inputs!$B$9)*1000/1_Inputs!$B$7</f>
        <v>74602.420928107</v>
      </c>
    </row>
    <row r="7" customFormat="false" ht="15" hidden="false" customHeight="false" outlineLevel="0" collapsed="false">
      <c r="A7" s="7" t="s">
        <v>195</v>
      </c>
      <c r="B7" s="38" t="n">
        <f aca="false">3_Scenarios!$E$5</f>
        <v>-0.03</v>
      </c>
      <c r="C7" s="38" t="n">
        <f aca="false">3_Scenarios!$E$6</f>
        <v>0.08</v>
      </c>
      <c r="D7" s="38" t="n">
        <f aca="false">3_Scenarios!$E$7</f>
        <v>0.04</v>
      </c>
      <c r="E7" s="38" t="n">
        <f aca="false">3_Scenarios!$E$8</f>
        <v>0.156</v>
      </c>
      <c r="F7" s="13" t="n">
        <f aca="false">3_Scenarios!$E$9+0.01</f>
        <v>0.11</v>
      </c>
      <c r="G7" s="38" t="n">
        <f aca="false">1_Inputs!$B$13</f>
        <v>0.02</v>
      </c>
      <c r="H7" s="20" t="n">
        <f aca="false">(1+1_Inputs!$B$14)*((2_Artist_Drivers!$D$9-2_Artist_Drivers!$D$6*IF(AND(3_Scenarios!$E$10="No",2026&gt;2_Artist_Drivers!$J$6),1,0))*(1+$B7)^1+(2_Artist_Drivers!$H$9-2_Artist_Drivers!$H$6*IF(AND(3_Scenarios!$E$10="No",2026&gt;2_Artist_Drivers!$J$6),1,0))*(1+$C7)^1)+2_Artist_Drivers!$I$10*(1+$D7)^1</f>
        <v>1207.843</v>
      </c>
      <c r="I7" s="20" t="n">
        <f aca="false">(1+1_Inputs!$B$14)*((2_Artist_Drivers!$D$9-2_Artist_Drivers!$D$6*IF(AND(3_Scenarios!$E$10="No",2027&gt;2_Artist_Drivers!$J$6),1,0))*(1+$B7)^2+(2_Artist_Drivers!$H$9-2_Artist_Drivers!$H$6*IF(AND(3_Scenarios!$E$10="No",2027&gt;2_Artist_Drivers!$J$6),1,0))*(1+$C7)^2)+2_Artist_Drivers!$I$10*(1+$D7)^2</f>
        <v>1244.34557</v>
      </c>
      <c r="J7" s="20" t="n">
        <f aca="false">(1+1_Inputs!$B$14)*((2_Artist_Drivers!$D$9-2_Artist_Drivers!$D$6*IF(AND(3_Scenarios!$E$10="No",2028&gt;2_Artist_Drivers!$J$6),1,0))*(1+$B7)^3+(2_Artist_Drivers!$H$9-2_Artist_Drivers!$H$6*IF(AND(3_Scenarios!$E$10="No",2028&gt;2_Artist_Drivers!$J$6),1,0))*(1+$C7)^3)+2_Artist_Drivers!$I$10*(1+$D7)^3</f>
        <v>1284.2471317</v>
      </c>
      <c r="K7" s="20" t="n">
        <f aca="false">(1+1_Inputs!$B$14)*((2_Artist_Drivers!$D$9-2_Artist_Drivers!$D$6*IF(AND(3_Scenarios!$E$10="No",2029&gt;2_Artist_Drivers!$J$6),1,0))*(1+$B7)^4+(2_Artist_Drivers!$H$9-2_Artist_Drivers!$H$6*IF(AND(3_Scenarios!$E$10="No",2029&gt;2_Artist_Drivers!$J$6),1,0))*(1+$C7)^4)+2_Artist_Drivers!$I$10*(1+$D7)^4</f>
        <v>1327.752242453</v>
      </c>
      <c r="L7" s="20" t="n">
        <f aca="false">(1+1_Inputs!$B$14)*((2_Artist_Drivers!$D$9-2_Artist_Drivers!$D$6*IF(AND(3_Scenarios!$E$10="No",2030&gt;2_Artist_Drivers!$J$6),1,0))*(1+$B7)^5+(2_Artist_Drivers!$H$9-2_Artist_Drivers!$H$6*IF(AND(3_Scenarios!$E$10="No",2030&gt;2_Artist_Drivers!$J$6),1,0))*(1+$C7)^5)+2_Artist_Drivers!$I$10*(1+$D7)^5</f>
        <v>1375.08172512373</v>
      </c>
      <c r="M7" s="20" t="n">
        <f aca="false">H7*$E7*(1-1_Inputs!$B$11)*1_Inputs!$B$12/(1+$F7)^1+I7*$E7*(1-1_Inputs!$B$11)*1_Inputs!$B$12/(1+$F7)^2+J7*$E7*(1-1_Inputs!$B$11)*1_Inputs!$B$12/(1+$F7)^3+K7*$E7*(1-1_Inputs!$B$11)*1_Inputs!$B$12/(1+$F7)^4+L7*$E7*(1-1_Inputs!$B$11)*1_Inputs!$B$12/(1+$F7)^5+L7*$E7*(1-1_Inputs!$B$11)*1_Inputs!$B$12*(1+$G7)/($F7-$G7)/(1+$F7)^5</f>
        <v>1325.62326697627</v>
      </c>
      <c r="N7" s="29" t="n">
        <f aca="false">(M7+1_Inputs!$B$9)*1000/1_Inputs!$B$7</f>
        <v>57912.7683257436</v>
      </c>
    </row>
    <row r="8" customFormat="false" ht="15" hidden="false" customHeight="false" outlineLevel="0" collapsed="false">
      <c r="A8" s="7" t="s">
        <v>196</v>
      </c>
      <c r="B8" s="38" t="n">
        <f aca="false">3_Scenarios!$E$5</f>
        <v>-0.03</v>
      </c>
      <c r="C8" s="38" t="n">
        <f aca="false">3_Scenarios!$E$6</f>
        <v>0.08</v>
      </c>
      <c r="D8" s="38" t="n">
        <f aca="false">3_Scenarios!$E$7</f>
        <v>0.04</v>
      </c>
      <c r="E8" s="38" t="n">
        <f aca="false">3_Scenarios!$E$8</f>
        <v>0.156</v>
      </c>
      <c r="F8" s="38" t="n">
        <f aca="false">3_Scenarios!$E$9</f>
        <v>0.1</v>
      </c>
      <c r="G8" s="13" t="n">
        <f aca="false">1_Inputs!$B$13-0.005</f>
        <v>0.015</v>
      </c>
      <c r="H8" s="20" t="n">
        <f aca="false">(1+1_Inputs!$B$14)*((2_Artist_Drivers!$D$9-2_Artist_Drivers!$D$6*IF(AND(3_Scenarios!$E$10="No",2026&gt;2_Artist_Drivers!$J$6),1,0))*(1+$B8)^1+(2_Artist_Drivers!$H$9-2_Artist_Drivers!$H$6*IF(AND(3_Scenarios!$E$10="No",2026&gt;2_Artist_Drivers!$J$6),1,0))*(1+$C8)^1)+2_Artist_Drivers!$I$10*(1+$D8)^1</f>
        <v>1207.843</v>
      </c>
      <c r="I8" s="20" t="n">
        <f aca="false">(1+1_Inputs!$B$14)*((2_Artist_Drivers!$D$9-2_Artist_Drivers!$D$6*IF(AND(3_Scenarios!$E$10="No",2027&gt;2_Artist_Drivers!$J$6),1,0))*(1+$B8)^2+(2_Artist_Drivers!$H$9-2_Artist_Drivers!$H$6*IF(AND(3_Scenarios!$E$10="No",2027&gt;2_Artist_Drivers!$J$6),1,0))*(1+$C8)^2)+2_Artist_Drivers!$I$10*(1+$D8)^2</f>
        <v>1244.34557</v>
      </c>
      <c r="J8" s="20" t="n">
        <f aca="false">(1+1_Inputs!$B$14)*((2_Artist_Drivers!$D$9-2_Artist_Drivers!$D$6*IF(AND(3_Scenarios!$E$10="No",2028&gt;2_Artist_Drivers!$J$6),1,0))*(1+$B8)^3+(2_Artist_Drivers!$H$9-2_Artist_Drivers!$H$6*IF(AND(3_Scenarios!$E$10="No",2028&gt;2_Artist_Drivers!$J$6),1,0))*(1+$C8)^3)+2_Artist_Drivers!$I$10*(1+$D8)^3</f>
        <v>1284.2471317</v>
      </c>
      <c r="K8" s="20" t="n">
        <f aca="false">(1+1_Inputs!$B$14)*((2_Artist_Drivers!$D$9-2_Artist_Drivers!$D$6*IF(AND(3_Scenarios!$E$10="No",2029&gt;2_Artist_Drivers!$J$6),1,0))*(1+$B8)^4+(2_Artist_Drivers!$H$9-2_Artist_Drivers!$H$6*IF(AND(3_Scenarios!$E$10="No",2029&gt;2_Artist_Drivers!$J$6),1,0))*(1+$C8)^4)+2_Artist_Drivers!$I$10*(1+$D8)^4</f>
        <v>1327.752242453</v>
      </c>
      <c r="L8" s="20" t="n">
        <f aca="false">(1+1_Inputs!$B$14)*((2_Artist_Drivers!$D$9-2_Artist_Drivers!$D$6*IF(AND(3_Scenarios!$E$10="No",2030&gt;2_Artist_Drivers!$J$6),1,0))*(1+$B8)^5+(2_Artist_Drivers!$H$9-2_Artist_Drivers!$H$6*IF(AND(3_Scenarios!$E$10="No",2030&gt;2_Artist_Drivers!$J$6),1,0))*(1+$C8)^5)+2_Artist_Drivers!$I$10*(1+$D8)^5</f>
        <v>1375.08172512373</v>
      </c>
      <c r="M8" s="20" t="n">
        <f aca="false">H8*$E8*(1-1_Inputs!$B$11)*1_Inputs!$B$12/(1+$F8)^1+I8*$E8*(1-1_Inputs!$B$11)*1_Inputs!$B$12/(1+$F8)^2+J8*$E8*(1-1_Inputs!$B$11)*1_Inputs!$B$12/(1+$F8)^3+K8*$E8*(1-1_Inputs!$B$11)*1_Inputs!$B$12/(1+$F8)^4+L8*$E8*(1-1_Inputs!$B$11)*1_Inputs!$B$12/(1+$F8)^5+L8*$E8*(1-1_Inputs!$B$11)*1_Inputs!$B$12*(1+$G8)/($F8-$G8)/(1+$F8)^5</f>
        <v>1427.23231345128</v>
      </c>
      <c r="N8" s="29" t="n">
        <f aca="false">(M8+1_Inputs!$B$9)*1000/1_Inputs!$B$7</f>
        <v>62351.7830253945</v>
      </c>
    </row>
    <row r="9" customFormat="false" ht="15" hidden="false" customHeight="false" outlineLevel="0" collapsed="false">
      <c r="A9" s="7" t="s">
        <v>197</v>
      </c>
      <c r="B9" s="38" t="n">
        <f aca="false">3_Scenarios!$E$5</f>
        <v>-0.03</v>
      </c>
      <c r="C9" s="38" t="n">
        <f aca="false">3_Scenarios!$E$6</f>
        <v>0.08</v>
      </c>
      <c r="D9" s="38" t="n">
        <f aca="false">3_Scenarios!$E$7</f>
        <v>0.04</v>
      </c>
      <c r="E9" s="38" t="n">
        <f aca="false">3_Scenarios!$E$8</f>
        <v>0.156</v>
      </c>
      <c r="F9" s="38" t="n">
        <f aca="false">3_Scenarios!$E$9</f>
        <v>0.1</v>
      </c>
      <c r="G9" s="13" t="n">
        <f aca="false">1_Inputs!$B$13+0.005</f>
        <v>0.025</v>
      </c>
      <c r="H9" s="20" t="n">
        <f aca="false">(1+1_Inputs!$B$14)*((2_Artist_Drivers!$D$9-2_Artist_Drivers!$D$6*IF(AND(3_Scenarios!$E$10="No",2026&gt;2_Artist_Drivers!$J$6),1,0))*(1+$B9)^1+(2_Artist_Drivers!$H$9-2_Artist_Drivers!$H$6*IF(AND(3_Scenarios!$E$10="No",2026&gt;2_Artist_Drivers!$J$6),1,0))*(1+$C9)^1)+2_Artist_Drivers!$I$10*(1+$D9)^1</f>
        <v>1207.843</v>
      </c>
      <c r="I9" s="20" t="n">
        <f aca="false">(1+1_Inputs!$B$14)*((2_Artist_Drivers!$D$9-2_Artist_Drivers!$D$6*IF(AND(3_Scenarios!$E$10="No",2027&gt;2_Artist_Drivers!$J$6),1,0))*(1+$B9)^2+(2_Artist_Drivers!$H$9-2_Artist_Drivers!$H$6*IF(AND(3_Scenarios!$E$10="No",2027&gt;2_Artist_Drivers!$J$6),1,0))*(1+$C9)^2)+2_Artist_Drivers!$I$10*(1+$D9)^2</f>
        <v>1244.34557</v>
      </c>
      <c r="J9" s="20" t="n">
        <f aca="false">(1+1_Inputs!$B$14)*((2_Artist_Drivers!$D$9-2_Artist_Drivers!$D$6*IF(AND(3_Scenarios!$E$10="No",2028&gt;2_Artist_Drivers!$J$6),1,0))*(1+$B9)^3+(2_Artist_Drivers!$H$9-2_Artist_Drivers!$H$6*IF(AND(3_Scenarios!$E$10="No",2028&gt;2_Artist_Drivers!$J$6),1,0))*(1+$C9)^3)+2_Artist_Drivers!$I$10*(1+$D9)^3</f>
        <v>1284.2471317</v>
      </c>
      <c r="K9" s="20" t="n">
        <f aca="false">(1+1_Inputs!$B$14)*((2_Artist_Drivers!$D$9-2_Artist_Drivers!$D$6*IF(AND(3_Scenarios!$E$10="No",2029&gt;2_Artist_Drivers!$J$6),1,0))*(1+$B9)^4+(2_Artist_Drivers!$H$9-2_Artist_Drivers!$H$6*IF(AND(3_Scenarios!$E$10="No",2029&gt;2_Artist_Drivers!$J$6),1,0))*(1+$C9)^4)+2_Artist_Drivers!$I$10*(1+$D9)^4</f>
        <v>1327.752242453</v>
      </c>
      <c r="L9" s="20" t="n">
        <f aca="false">(1+1_Inputs!$B$14)*((2_Artist_Drivers!$D$9-2_Artist_Drivers!$D$6*IF(AND(3_Scenarios!$E$10="No",2030&gt;2_Artist_Drivers!$J$6),1,0))*(1+$B9)^5+(2_Artist_Drivers!$H$9-2_Artist_Drivers!$H$6*IF(AND(3_Scenarios!$E$10="No",2030&gt;2_Artist_Drivers!$J$6),1,0))*(1+$C9)^5)+2_Artist_Drivers!$I$10*(1+$D9)^5</f>
        <v>1375.08172512373</v>
      </c>
      <c r="M9" s="20" t="n">
        <f aca="false">H9*$E9*(1-1_Inputs!$B$11)*1_Inputs!$B$12/(1+$F9)^1+I9*$E9*(1-1_Inputs!$B$11)*1_Inputs!$B$12/(1+$F9)^2+J9*$E9*(1-1_Inputs!$B$11)*1_Inputs!$B$12/(1+$F9)^3+K9*$E9*(1-1_Inputs!$B$11)*1_Inputs!$B$12/(1+$F9)^4+L9*$E9*(1-1_Inputs!$B$11)*1_Inputs!$B$12/(1+$F9)^5+L9*$E9*(1-1_Inputs!$B$11)*1_Inputs!$B$12*(1+$G9)/($F9-$G9)/(1+$F9)^5</f>
        <v>1566.96749329358</v>
      </c>
      <c r="N9" s="29" t="n">
        <f aca="false">(M9+1_Inputs!$B$9)*1000/1_Inputs!$B$7</f>
        <v>68456.4217253641</v>
      </c>
    </row>
    <row r="10" customFormat="false" ht="15" hidden="false" customHeight="false" outlineLevel="0" collapsed="false">
      <c r="A10" s="7" t="s">
        <v>198</v>
      </c>
      <c r="B10" s="38" t="n">
        <f aca="false">3_Scenarios!$E$5</f>
        <v>-0.03</v>
      </c>
      <c r="C10" s="38" t="n">
        <f aca="false">3_Scenarios!$E$6</f>
        <v>0.08</v>
      </c>
      <c r="D10" s="38" t="n">
        <f aca="false">3_Scenarios!$E$7</f>
        <v>0.04</v>
      </c>
      <c r="E10" s="13" t="n">
        <f aca="false">3_Scenarios!$E$8-0.02</f>
        <v>0.136</v>
      </c>
      <c r="F10" s="38" t="n">
        <f aca="false">3_Scenarios!$E$9</f>
        <v>0.1</v>
      </c>
      <c r="G10" s="38" t="n">
        <f aca="false">1_Inputs!$B$13</f>
        <v>0.02</v>
      </c>
      <c r="H10" s="20" t="n">
        <f aca="false">(1+1_Inputs!$B$14)*((2_Artist_Drivers!$D$9-2_Artist_Drivers!$D$6*IF(AND(3_Scenarios!$E$10="No",2026&gt;2_Artist_Drivers!$J$6),1,0))*(1+$B10)^1+(2_Artist_Drivers!$H$9-2_Artist_Drivers!$H$6*IF(AND(3_Scenarios!$E$10="No",2026&gt;2_Artist_Drivers!$J$6),1,0))*(1+$C10)^1)+2_Artist_Drivers!$I$10*(1+$D10)^1</f>
        <v>1207.843</v>
      </c>
      <c r="I10" s="20" t="n">
        <f aca="false">(1+1_Inputs!$B$14)*((2_Artist_Drivers!$D$9-2_Artist_Drivers!$D$6*IF(AND(3_Scenarios!$E$10="No",2027&gt;2_Artist_Drivers!$J$6),1,0))*(1+$B10)^2+(2_Artist_Drivers!$H$9-2_Artist_Drivers!$H$6*IF(AND(3_Scenarios!$E$10="No",2027&gt;2_Artist_Drivers!$J$6),1,0))*(1+$C10)^2)+2_Artist_Drivers!$I$10*(1+$D10)^2</f>
        <v>1244.34557</v>
      </c>
      <c r="J10" s="20" t="n">
        <f aca="false">(1+1_Inputs!$B$14)*((2_Artist_Drivers!$D$9-2_Artist_Drivers!$D$6*IF(AND(3_Scenarios!$E$10="No",2028&gt;2_Artist_Drivers!$J$6),1,0))*(1+$B10)^3+(2_Artist_Drivers!$H$9-2_Artist_Drivers!$H$6*IF(AND(3_Scenarios!$E$10="No",2028&gt;2_Artist_Drivers!$J$6),1,0))*(1+$C10)^3)+2_Artist_Drivers!$I$10*(1+$D10)^3</f>
        <v>1284.2471317</v>
      </c>
      <c r="K10" s="20" t="n">
        <f aca="false">(1+1_Inputs!$B$14)*((2_Artist_Drivers!$D$9-2_Artist_Drivers!$D$6*IF(AND(3_Scenarios!$E$10="No",2029&gt;2_Artist_Drivers!$J$6),1,0))*(1+$B10)^4+(2_Artist_Drivers!$H$9-2_Artist_Drivers!$H$6*IF(AND(3_Scenarios!$E$10="No",2029&gt;2_Artist_Drivers!$J$6),1,0))*(1+$C10)^4)+2_Artist_Drivers!$I$10*(1+$D10)^4</f>
        <v>1327.752242453</v>
      </c>
      <c r="L10" s="20" t="n">
        <f aca="false">(1+1_Inputs!$B$14)*((2_Artist_Drivers!$D$9-2_Artist_Drivers!$D$6*IF(AND(3_Scenarios!$E$10="No",2030&gt;2_Artist_Drivers!$J$6),1,0))*(1+$B10)^5+(2_Artist_Drivers!$H$9-2_Artist_Drivers!$H$6*IF(AND(3_Scenarios!$E$10="No",2030&gt;2_Artist_Drivers!$J$6),1,0))*(1+$C10)^5)+2_Artist_Drivers!$I$10*(1+$D10)^5</f>
        <v>1375.08172512373</v>
      </c>
      <c r="M10" s="20" t="n">
        <f aca="false">H10*$E10*(1-1_Inputs!$B$11)*1_Inputs!$B$12/(1+$F10)^1+I10*$E10*(1-1_Inputs!$B$11)*1_Inputs!$B$12/(1+$F10)^2+J10*$E10*(1-1_Inputs!$B$11)*1_Inputs!$B$12/(1+$F10)^3+K10*$E10*(1-1_Inputs!$B$11)*1_Inputs!$B$12/(1+$F10)^4+L10*$E10*(1-1_Inputs!$B$11)*1_Inputs!$B$12/(1+$F10)^5+L10*$E10*(1-1_Inputs!$B$11)*1_Inputs!$B$12*(1+$G10)/($F10-$G10)/(1+$F10)^5</f>
        <v>1301.35713041231</v>
      </c>
      <c r="N10" s="29" t="n">
        <f aca="false">(M10+1_Inputs!$B$9)*1000/1_Inputs!$B$7</f>
        <v>56852.6487729277</v>
      </c>
    </row>
    <row r="11" customFormat="false" ht="15" hidden="false" customHeight="false" outlineLevel="0" collapsed="false">
      <c r="A11" s="7" t="s">
        <v>199</v>
      </c>
      <c r="B11" s="38" t="n">
        <f aca="false">3_Scenarios!$E$5</f>
        <v>-0.03</v>
      </c>
      <c r="C11" s="38" t="n">
        <f aca="false">3_Scenarios!$E$6</f>
        <v>0.08</v>
      </c>
      <c r="D11" s="38" t="n">
        <f aca="false">3_Scenarios!$E$7</f>
        <v>0.04</v>
      </c>
      <c r="E11" s="13" t="n">
        <f aca="false">3_Scenarios!$E$8+0.02</f>
        <v>0.176</v>
      </c>
      <c r="F11" s="38" t="n">
        <f aca="false">3_Scenarios!$E$9</f>
        <v>0.1</v>
      </c>
      <c r="G11" s="38" t="n">
        <f aca="false">1_Inputs!$B$13</f>
        <v>0.02</v>
      </c>
      <c r="H11" s="20" t="n">
        <f aca="false">(1+1_Inputs!$B$14)*((2_Artist_Drivers!$D$9-2_Artist_Drivers!$D$6*IF(AND(3_Scenarios!$E$10="No",2026&gt;2_Artist_Drivers!$J$6),1,0))*(1+$B11)^1+(2_Artist_Drivers!$H$9-2_Artist_Drivers!$H$6*IF(AND(3_Scenarios!$E$10="No",2026&gt;2_Artist_Drivers!$J$6),1,0))*(1+$C11)^1)+2_Artist_Drivers!$I$10*(1+$D11)^1</f>
        <v>1207.843</v>
      </c>
      <c r="I11" s="20" t="n">
        <f aca="false">(1+1_Inputs!$B$14)*((2_Artist_Drivers!$D$9-2_Artist_Drivers!$D$6*IF(AND(3_Scenarios!$E$10="No",2027&gt;2_Artist_Drivers!$J$6),1,0))*(1+$B11)^2+(2_Artist_Drivers!$H$9-2_Artist_Drivers!$H$6*IF(AND(3_Scenarios!$E$10="No",2027&gt;2_Artist_Drivers!$J$6),1,0))*(1+$C11)^2)+2_Artist_Drivers!$I$10*(1+$D11)^2</f>
        <v>1244.34557</v>
      </c>
      <c r="J11" s="20" t="n">
        <f aca="false">(1+1_Inputs!$B$14)*((2_Artist_Drivers!$D$9-2_Artist_Drivers!$D$6*IF(AND(3_Scenarios!$E$10="No",2028&gt;2_Artist_Drivers!$J$6),1,0))*(1+$B11)^3+(2_Artist_Drivers!$H$9-2_Artist_Drivers!$H$6*IF(AND(3_Scenarios!$E$10="No",2028&gt;2_Artist_Drivers!$J$6),1,0))*(1+$C11)^3)+2_Artist_Drivers!$I$10*(1+$D11)^3</f>
        <v>1284.2471317</v>
      </c>
      <c r="K11" s="20" t="n">
        <f aca="false">(1+1_Inputs!$B$14)*((2_Artist_Drivers!$D$9-2_Artist_Drivers!$D$6*IF(AND(3_Scenarios!$E$10="No",2029&gt;2_Artist_Drivers!$J$6),1,0))*(1+$B11)^4+(2_Artist_Drivers!$H$9-2_Artist_Drivers!$H$6*IF(AND(3_Scenarios!$E$10="No",2029&gt;2_Artist_Drivers!$J$6),1,0))*(1+$C11)^4)+2_Artist_Drivers!$I$10*(1+$D11)^4</f>
        <v>1327.752242453</v>
      </c>
      <c r="L11" s="20" t="n">
        <f aca="false">(1+1_Inputs!$B$14)*((2_Artist_Drivers!$D$9-2_Artist_Drivers!$D$6*IF(AND(3_Scenarios!$E$10="No",2030&gt;2_Artist_Drivers!$J$6),1,0))*(1+$B11)^5+(2_Artist_Drivers!$H$9-2_Artist_Drivers!$H$6*IF(AND(3_Scenarios!$E$10="No",2030&gt;2_Artist_Drivers!$J$6),1,0))*(1+$C11)^5)+2_Artist_Drivers!$I$10*(1+$D11)^5</f>
        <v>1375.08172512373</v>
      </c>
      <c r="M11" s="20" t="n">
        <f aca="false">H11*$E11*(1-1_Inputs!$B$11)*1_Inputs!$B$12/(1+$F11)^1+I11*$E11*(1-1_Inputs!$B$11)*1_Inputs!$B$12/(1+$F11)^2+J11*$E11*(1-1_Inputs!$B$11)*1_Inputs!$B$12/(1+$F11)^3+K11*$E11*(1-1_Inputs!$B$11)*1_Inputs!$B$12/(1+$F11)^4+L11*$E11*(1-1_Inputs!$B$11)*1_Inputs!$B$12/(1+$F11)^5+L11*$E11*(1-1_Inputs!$B$11)*1_Inputs!$B$12*(1+$G11)/($F11-$G11)/(1+$F11)^5</f>
        <v>1684.10922759241</v>
      </c>
      <c r="N11" s="29" t="n">
        <f aca="false">(M11+1_Inputs!$B$9)*1000/1_Inputs!$B$7</f>
        <v>73574.0160590828</v>
      </c>
    </row>
    <row r="12" customFormat="false" ht="15" hidden="false" customHeight="false" outlineLevel="0" collapsed="false">
      <c r="A12" s="7" t="s">
        <v>200</v>
      </c>
      <c r="B12" s="13" t="n">
        <f aca="false">3_Scenarios!$E$5-0.05</f>
        <v>-0.08</v>
      </c>
      <c r="C12" s="38" t="n">
        <f aca="false">3_Scenarios!$E$6</f>
        <v>0.08</v>
      </c>
      <c r="D12" s="38" t="n">
        <f aca="false">3_Scenarios!$E$7</f>
        <v>0.04</v>
      </c>
      <c r="E12" s="38" t="n">
        <f aca="false">3_Scenarios!$E$8</f>
        <v>0.156</v>
      </c>
      <c r="F12" s="38" t="n">
        <f aca="false">3_Scenarios!$E$9</f>
        <v>0.1</v>
      </c>
      <c r="G12" s="38" t="n">
        <f aca="false">1_Inputs!$B$13</f>
        <v>0.02</v>
      </c>
      <c r="H12" s="20" t="n">
        <f aca="false">(1+1_Inputs!$B$14)*((2_Artist_Drivers!$D$9-2_Artist_Drivers!$D$6*IF(AND(3_Scenarios!$E$10="No",2026&gt;2_Artist_Drivers!$J$6),1,0))*(1+$B12)^1+(2_Artist_Drivers!$H$9-2_Artist_Drivers!$H$6*IF(AND(3_Scenarios!$E$10="No",2026&gt;2_Artist_Drivers!$J$6),1,0))*(1+$C12)^1)+2_Artist_Drivers!$I$10*(1+$D12)^1</f>
        <v>1188.538</v>
      </c>
      <c r="I12" s="20" t="n">
        <f aca="false">(1+1_Inputs!$B$14)*((2_Artist_Drivers!$D$9-2_Artist_Drivers!$D$6*IF(AND(3_Scenarios!$E$10="No",2027&gt;2_Artist_Drivers!$J$6),1,0))*(1+$B12)^2+(2_Artist_Drivers!$H$9-2_Artist_Drivers!$H$6*IF(AND(3_Scenarios!$E$10="No",2027&gt;2_Artist_Drivers!$J$6),1,0))*(1+$C12)^2)+2_Artist_Drivers!$I$10*(1+$D12)^2</f>
        <v>1207.85912</v>
      </c>
      <c r="J12" s="20" t="n">
        <f aca="false">(1+1_Inputs!$B$14)*((2_Artist_Drivers!$D$9-2_Artist_Drivers!$D$6*IF(AND(3_Scenarios!$E$10="No",2028&gt;2_Artist_Drivers!$J$6),1,0))*(1+$B12)^3+(2_Artist_Drivers!$H$9-2_Artist_Drivers!$H$6*IF(AND(3_Scenarios!$E$10="No",2028&gt;2_Artist_Drivers!$J$6),1,0))*(1+$C12)^3)+2_Artist_Drivers!$I$10*(1+$D12)^3</f>
        <v>1232.5155232</v>
      </c>
      <c r="K12" s="20" t="n">
        <f aca="false">(1+1_Inputs!$B$14)*((2_Artist_Drivers!$D$9-2_Artist_Drivers!$D$6*IF(AND(3_Scenarios!$E$10="No",2029&gt;2_Artist_Drivers!$J$6),1,0))*(1+$B12)^4+(2_Artist_Drivers!$H$9-2_Artist_Drivers!$H$6*IF(AND(3_Scenarios!$E$10="No",2029&gt;2_Artist_Drivers!$J$6),1,0))*(1+$C12)^4)+2_Artist_Drivers!$I$10*(1+$D12)^4</f>
        <v>1262.540010368</v>
      </c>
      <c r="L12" s="20" t="n">
        <f aca="false">(1+1_Inputs!$B$14)*((2_Artist_Drivers!$D$9-2_Artist_Drivers!$D$6*IF(AND(3_Scenarios!$E$10="No",2030&gt;2_Artist_Drivers!$J$6),1,0))*(1+$B12)^5+(2_Artist_Drivers!$H$9-2_Artist_Drivers!$H$6*IF(AND(3_Scenarios!$E$10="No",2030&gt;2_Artist_Drivers!$J$6),1,0))*(1+$C12)^5)+2_Artist_Drivers!$I$10*(1+$D12)^5</f>
        <v>1297.99589390848</v>
      </c>
      <c r="M12" s="20" t="n">
        <f aca="false">H12*$E12*(1-1_Inputs!$B$11)*1_Inputs!$B$12/(1+$F12)^1+I12*$E12*(1-1_Inputs!$B$11)*1_Inputs!$B$12/(1+$F12)^2+J12*$E12*(1-1_Inputs!$B$11)*1_Inputs!$B$12/(1+$F12)^3+K12*$E12*(1-1_Inputs!$B$11)*1_Inputs!$B$12/(1+$F12)^4+L12*$E12*(1-1_Inputs!$B$11)*1_Inputs!$B$12/(1+$F12)^5+L12*$E12*(1-1_Inputs!$B$11)*1_Inputs!$B$12*(1+$G12)/($F12-$G12)/(1+$F12)^5</f>
        <v>1417.87487917833</v>
      </c>
      <c r="N12" s="29" t="n">
        <f aca="false">(M12+1_Inputs!$B$9)*1000/1_Inputs!$B$7</f>
        <v>61942.9829260957</v>
      </c>
    </row>
    <row r="13" customFormat="false" ht="15" hidden="false" customHeight="false" outlineLevel="0" collapsed="false">
      <c r="A13" s="7" t="s">
        <v>201</v>
      </c>
      <c r="B13" s="13" t="n">
        <f aca="false">3_Scenarios!$E$5+0.05</f>
        <v>0.02</v>
      </c>
      <c r="C13" s="38" t="n">
        <f aca="false">3_Scenarios!$E$6</f>
        <v>0.08</v>
      </c>
      <c r="D13" s="38" t="n">
        <f aca="false">3_Scenarios!$E$7</f>
        <v>0.04</v>
      </c>
      <c r="E13" s="38" t="n">
        <f aca="false">3_Scenarios!$E$8</f>
        <v>0.156</v>
      </c>
      <c r="F13" s="38" t="n">
        <f aca="false">3_Scenarios!$E$9</f>
        <v>0.1</v>
      </c>
      <c r="G13" s="38" t="n">
        <f aca="false">1_Inputs!$B$13</f>
        <v>0.02</v>
      </c>
      <c r="H13" s="20" t="n">
        <f aca="false">(1+1_Inputs!$B$14)*((2_Artist_Drivers!$D$9-2_Artist_Drivers!$D$6*IF(AND(3_Scenarios!$E$10="No",2026&gt;2_Artist_Drivers!$J$6),1,0))*(1+$B13)^1+(2_Artist_Drivers!$H$9-2_Artist_Drivers!$H$6*IF(AND(3_Scenarios!$E$10="No",2026&gt;2_Artist_Drivers!$J$6),1,0))*(1+$C13)^1)+2_Artist_Drivers!$I$10*(1+$D13)^1</f>
        <v>1227.148</v>
      </c>
      <c r="I13" s="20" t="n">
        <f aca="false">(1+1_Inputs!$B$14)*((2_Artist_Drivers!$D$9-2_Artist_Drivers!$D$6*IF(AND(3_Scenarios!$E$10="No",2027&gt;2_Artist_Drivers!$J$6),1,0))*(1+$B13)^2+(2_Artist_Drivers!$H$9-2_Artist_Drivers!$H$6*IF(AND(3_Scenarios!$E$10="No",2027&gt;2_Artist_Drivers!$J$6),1,0))*(1+$C13)^2)+2_Artist_Drivers!$I$10*(1+$D13)^2</f>
        <v>1282.76252</v>
      </c>
      <c r="J13" s="20" t="n">
        <f aca="false">(1+1_Inputs!$B$14)*((2_Artist_Drivers!$D$9-2_Artist_Drivers!$D$6*IF(AND(3_Scenarios!$E$10="No",2028&gt;2_Artist_Drivers!$J$6),1,0))*(1+$B13)^3+(2_Artist_Drivers!$H$9-2_Artist_Drivers!$H$6*IF(AND(3_Scenarios!$E$10="No",2028&gt;2_Artist_Drivers!$J$6),1,0))*(1+$C13)^3)+2_Artist_Drivers!$I$10*(1+$D13)^3</f>
        <v>1341.5964952</v>
      </c>
      <c r="K13" s="20" t="n">
        <f aca="false">(1+1_Inputs!$B$14)*((2_Artist_Drivers!$D$9-2_Artist_Drivers!$D$6*IF(AND(3_Scenarios!$E$10="No",2029&gt;2_Artist_Drivers!$J$6),1,0))*(1+$B13)^4+(2_Artist_Drivers!$H$9-2_Artist_Drivers!$H$6*IF(AND(3_Scenarios!$E$10="No",2029&gt;2_Artist_Drivers!$J$6),1,0))*(1+$C13)^4)+2_Artist_Drivers!$I$10*(1+$D13)^4</f>
        <v>1403.867745488</v>
      </c>
      <c r="L13" s="20" t="n">
        <f aca="false">(1+1_Inputs!$B$14)*((2_Artist_Drivers!$D$9-2_Artist_Drivers!$D$6*IF(AND(3_Scenarios!$E$10="No",2030&gt;2_Artist_Drivers!$J$6),1,0))*(1+$B13)^5+(2_Artist_Drivers!$H$9-2_Artist_Drivers!$H$6*IF(AND(3_Scenarios!$E$10="No",2030&gt;2_Artist_Drivers!$J$6),1,0))*(1+$C13)^5)+2_Artist_Drivers!$I$10*(1+$D13)^5</f>
        <v>1469.81011591648</v>
      </c>
      <c r="M13" s="20" t="n">
        <f aca="false">H13*$E13*(1-1_Inputs!$B$11)*1_Inputs!$B$12/(1+$F13)^1+I13*$E13*(1-1_Inputs!$B$11)*1_Inputs!$B$12/(1+$F13)^2+J13*$E13*(1-1_Inputs!$B$11)*1_Inputs!$B$12/(1+$F13)^3+K13*$E13*(1-1_Inputs!$B$11)*1_Inputs!$B$12/(1+$F13)^4+L13*$E13*(1-1_Inputs!$B$11)*1_Inputs!$B$12/(1+$F13)^5+L13*$E13*(1-1_Inputs!$B$11)*1_Inputs!$B$12*(1+$G13)/($F13-$G13)/(1+$F13)^5</f>
        <v>1583.13607557829</v>
      </c>
      <c r="N13" s="29" t="n">
        <f aca="false">(M13+1_Inputs!$B$9)*1000/1_Inputs!$B$7</f>
        <v>69162.7818077016</v>
      </c>
    </row>
    <row r="14" customFormat="false" ht="15" hidden="false" customHeight="false" outlineLevel="0" collapsed="false">
      <c r="A14" s="7" t="s">
        <v>202</v>
      </c>
      <c r="B14" s="38" t="n">
        <f aca="false">3_Scenarios!$E$5</f>
        <v>-0.03</v>
      </c>
      <c r="C14" s="13" t="n">
        <f aca="false">3_Scenarios!$E$6-0.05</f>
        <v>0.03</v>
      </c>
      <c r="D14" s="38" t="n">
        <f aca="false">3_Scenarios!$E$7</f>
        <v>0.04</v>
      </c>
      <c r="E14" s="38" t="n">
        <f aca="false">3_Scenarios!$E$8</f>
        <v>0.156</v>
      </c>
      <c r="F14" s="38" t="n">
        <f aca="false">3_Scenarios!$E$9</f>
        <v>0.1</v>
      </c>
      <c r="G14" s="38" t="n">
        <f aca="false">1_Inputs!$B$13</f>
        <v>0.02</v>
      </c>
      <c r="H14" s="20" t="n">
        <f aca="false">(1+1_Inputs!$B$14)*((2_Artist_Drivers!$D$9-2_Artist_Drivers!$D$6*IF(AND(3_Scenarios!$E$10="No",2026&gt;2_Artist_Drivers!$J$6),1,0))*(1+$B14)^1+(2_Artist_Drivers!$H$9-2_Artist_Drivers!$H$6*IF(AND(3_Scenarios!$E$10="No",2026&gt;2_Artist_Drivers!$J$6),1,0))*(1+$C14)^1)+2_Artist_Drivers!$I$10*(1+$D14)^1</f>
        <v>1191.1705</v>
      </c>
      <c r="I14" s="20" t="n">
        <f aca="false">(1+1_Inputs!$B$14)*((2_Artist_Drivers!$D$9-2_Artist_Drivers!$D$6*IF(AND(3_Scenarios!$E$10="No",2027&gt;2_Artist_Drivers!$J$6),1,0))*(1+$B14)^2+(2_Artist_Drivers!$H$9-2_Artist_Drivers!$H$6*IF(AND(3_Scenarios!$E$10="No",2027&gt;2_Artist_Drivers!$J$6),1,0))*(1+$C14)^2)+2_Artist_Drivers!$I$10*(1+$D14)^2</f>
        <v>1209.166595</v>
      </c>
      <c r="J14" s="20" t="n">
        <f aca="false">(1+1_Inputs!$B$14)*((2_Artist_Drivers!$D$9-2_Artist_Drivers!$D$6*IF(AND(3_Scenarios!$E$10="No",2028&gt;2_Artist_Drivers!$J$6),1,0))*(1+$B14)^3+(2_Artist_Drivers!$H$9-2_Artist_Drivers!$H$6*IF(AND(3_Scenarios!$E$10="No",2028&gt;2_Artist_Drivers!$J$6),1,0))*(1+$C14)^3)+2_Artist_Drivers!$I$10*(1+$D14)^3</f>
        <v>1228.56598345</v>
      </c>
      <c r="K14" s="20" t="n">
        <f aca="false">(1+1_Inputs!$B$14)*((2_Artist_Drivers!$D$9-2_Artist_Drivers!$D$6*IF(AND(3_Scenarios!$E$10="No",2029&gt;2_Artist_Drivers!$J$6),1,0))*(1+$B14)^4+(2_Artist_Drivers!$H$9-2_Artist_Drivers!$H$6*IF(AND(3_Scenarios!$E$10="No",2029&gt;2_Artist_Drivers!$J$6),1,0))*(1+$C14)^4)+2_Artist_Drivers!$I$10*(1+$D14)^4</f>
        <v>1249.3981114355</v>
      </c>
      <c r="L14" s="20" t="n">
        <f aca="false">(1+1_Inputs!$B$14)*((2_Artist_Drivers!$D$9-2_Artist_Drivers!$D$6*IF(AND(3_Scenarios!$E$10="No",2030&gt;2_Artist_Drivers!$J$6),1,0))*(1+$B14)^5+(2_Artist_Drivers!$H$9-2_Artist_Drivers!$H$6*IF(AND(3_Scenarios!$E$10="No",2030&gt;2_Artist_Drivers!$J$6),1,0))*(1+$C14)^5)+2_Artist_Drivers!$I$10*(1+$D14)^5</f>
        <v>1271.69421799011</v>
      </c>
      <c r="M14" s="20" t="n">
        <f aca="false">H14*$E14*(1-1_Inputs!$B$11)*1_Inputs!$B$12/(1+$F14)^1+I14*$E14*(1-1_Inputs!$B$11)*1_Inputs!$B$12/(1+$F14)^2+J14*$E14*(1-1_Inputs!$B$11)*1_Inputs!$B$12/(1+$F14)^3+K14*$E14*(1-1_Inputs!$B$11)*1_Inputs!$B$12/(1+$F14)^4+L14*$E14*(1-1_Inputs!$B$11)*1_Inputs!$B$12/(1+$F14)^5+L14*$E14*(1-1_Inputs!$B$11)*1_Inputs!$B$12*(1+$G14)/($F14-$G14)/(1+$F14)^5</f>
        <v>1395.77295397992</v>
      </c>
      <c r="N14" s="29" t="n">
        <f aca="false">(M14+1_Inputs!$B$9)*1000/1_Inputs!$B$7</f>
        <v>60977.4117072921</v>
      </c>
    </row>
    <row r="15" customFormat="false" ht="15" hidden="false" customHeight="false" outlineLevel="0" collapsed="false">
      <c r="A15" s="7" t="s">
        <v>203</v>
      </c>
      <c r="B15" s="38" t="n">
        <f aca="false">3_Scenarios!$E$5</f>
        <v>-0.03</v>
      </c>
      <c r="C15" s="13" t="n">
        <f aca="false">3_Scenarios!$E$6+0.05</f>
        <v>0.13</v>
      </c>
      <c r="D15" s="38" t="n">
        <f aca="false">3_Scenarios!$E$7</f>
        <v>0.04</v>
      </c>
      <c r="E15" s="38" t="n">
        <f aca="false">3_Scenarios!$E$8</f>
        <v>0.156</v>
      </c>
      <c r="F15" s="38" t="n">
        <f aca="false">3_Scenarios!$E$9</f>
        <v>0.1</v>
      </c>
      <c r="G15" s="38" t="n">
        <f aca="false">1_Inputs!$B$13</f>
        <v>0.02</v>
      </c>
      <c r="H15" s="20" t="n">
        <f aca="false">(1+1_Inputs!$B$14)*((2_Artist_Drivers!$D$9-2_Artist_Drivers!$D$6*IF(AND(3_Scenarios!$E$10="No",2026&gt;2_Artist_Drivers!$J$6),1,0))*(1+$B15)^1+(2_Artist_Drivers!$H$9-2_Artist_Drivers!$H$6*IF(AND(3_Scenarios!$E$10="No",2026&gt;2_Artist_Drivers!$J$6),1,0))*(1+$C15)^1)+2_Artist_Drivers!$I$10*(1+$D15)^1</f>
        <v>1224.5155</v>
      </c>
      <c r="I15" s="20" t="n">
        <f aca="false">(1+1_Inputs!$B$14)*((2_Artist_Drivers!$D$9-2_Artist_Drivers!$D$6*IF(AND(3_Scenarios!$E$10="No",2027&gt;2_Artist_Drivers!$J$6),1,0))*(1+$B15)^2+(2_Artist_Drivers!$H$9-2_Artist_Drivers!$H$6*IF(AND(3_Scenarios!$E$10="No",2027&gt;2_Artist_Drivers!$J$6),1,0))*(1+$C15)^2)+2_Artist_Drivers!$I$10*(1+$D15)^2</f>
        <v>1281.191795</v>
      </c>
      <c r="J15" s="20" t="n">
        <f aca="false">(1+1_Inputs!$B$14)*((2_Artist_Drivers!$D$9-2_Artist_Drivers!$D$6*IF(AND(3_Scenarios!$E$10="No",2028&gt;2_Artist_Drivers!$J$6),1,0))*(1+$B15)^3+(2_Artist_Drivers!$H$9-2_Artist_Drivers!$H$6*IF(AND(3_Scenarios!$E$10="No",2028&gt;2_Artist_Drivers!$J$6),1,0))*(1+$C15)^3)+2_Artist_Drivers!$I$10*(1+$D15)^3</f>
        <v>1345.33016995</v>
      </c>
      <c r="K15" s="20" t="n">
        <f aca="false">(1+1_Inputs!$B$14)*((2_Artist_Drivers!$D$9-2_Artist_Drivers!$D$6*IF(AND(3_Scenarios!$E$10="No",2029&gt;2_Artist_Drivers!$J$6),1,0))*(1+$B15)^4+(2_Artist_Drivers!$H$9-2_Artist_Drivers!$H$6*IF(AND(3_Scenarios!$E$10="No",2029&gt;2_Artist_Drivers!$J$6),1,0))*(1+$C15)^4)+2_Artist_Drivers!$I$10*(1+$D15)^4</f>
        <v>1417.7786239955</v>
      </c>
      <c r="L15" s="20" t="n">
        <f aca="false">(1+1_Inputs!$B$14)*((2_Artist_Drivers!$D$9-2_Artist_Drivers!$D$6*IF(AND(3_Scenarios!$E$10="No",2030&gt;2_Artist_Drivers!$J$6),1,0))*(1+$B15)^5+(2_Artist_Drivers!$H$9-2_Artist_Drivers!$H$6*IF(AND(3_Scenarios!$E$10="No",2030&gt;2_Artist_Drivers!$J$6),1,0))*(1+$C15)^5)+2_Artist_Drivers!$I$10*(1+$D15)^5</f>
        <v>1499.49428845235</v>
      </c>
      <c r="M15" s="20" t="n">
        <f aca="false">H15*$E15*(1-1_Inputs!$B$11)*1_Inputs!$B$12/(1+$F15)^1+I15*$E15*(1-1_Inputs!$B$11)*1_Inputs!$B$12/(1+$F15)^2+J15*$E15*(1-1_Inputs!$B$11)*1_Inputs!$B$12/(1+$F15)^3+K15*$E15*(1-1_Inputs!$B$11)*1_Inputs!$B$12/(1+$F15)^4+L15*$E15*(1-1_Inputs!$B$11)*1_Inputs!$B$12/(1+$F15)^5+L15*$E15*(1-1_Inputs!$B$11)*1_Inputs!$B$12*(1+$G15)/($F15-$G15)/(1+$F15)^5</f>
        <v>1607.99087981092</v>
      </c>
      <c r="N15" s="29" t="n">
        <f aca="false">(M15+1_Inputs!$B$9)*1000/1_Inputs!$B$7</f>
        <v>70248.6186024868</v>
      </c>
    </row>
    <row r="17" customFormat="false" ht="23.85" hidden="false" customHeight="false" outlineLevel="0" collapsed="false">
      <c r="A17" s="16" t="s">
        <v>204</v>
      </c>
      <c r="B17" s="25" t="str">
        <f aca="false">IF(ABS(N5-4_DCF!B28)&lt;1,"OK","CHECK")</f>
        <v>OK</v>
      </c>
    </row>
    <row r="19" customFormat="false" ht="15" hidden="false" customHeight="false" outlineLevel="0" collapsed="false">
      <c r="A19" s="15" t="s">
        <v>205</v>
      </c>
    </row>
    <row r="20" customFormat="false" ht="15" hidden="false" customHeight="false" outlineLevel="0" collapsed="false">
      <c r="A20" s="6" t="s">
        <v>206</v>
      </c>
      <c r="B20" s="6" t="s">
        <v>207</v>
      </c>
      <c r="C20" s="6" t="s">
        <v>208</v>
      </c>
    </row>
    <row r="21" customFormat="false" ht="15" hidden="false" customHeight="false" outlineLevel="0" collapsed="false">
      <c r="A21" s="7" t="s">
        <v>209</v>
      </c>
      <c r="B21" s="33" t="n">
        <f aca="false">N7-$N$5</f>
        <v>-7300.56409026161</v>
      </c>
      <c r="C21" s="33" t="n">
        <f aca="false">N6-$N$5</f>
        <v>9389.08851210176</v>
      </c>
    </row>
    <row r="22" customFormat="false" ht="15" hidden="false" customHeight="false" outlineLevel="0" collapsed="false">
      <c r="A22" s="7" t="s">
        <v>210</v>
      </c>
      <c r="B22" s="33" t="n">
        <f aca="false">N8-$N$5</f>
        <v>-2861.54939061071</v>
      </c>
      <c r="C22" s="33" t="n">
        <f aca="false">N9-$N$5</f>
        <v>3243.08930935882</v>
      </c>
    </row>
    <row r="23" customFormat="false" ht="15" hidden="false" customHeight="false" outlineLevel="0" collapsed="false">
      <c r="A23" s="7" t="s">
        <v>211</v>
      </c>
      <c r="B23" s="33" t="n">
        <f aca="false">N10-$N$5</f>
        <v>-8360.68364307759</v>
      </c>
      <c r="C23" s="33" t="n">
        <f aca="false">N11-$N$5</f>
        <v>8360.6836430776</v>
      </c>
    </row>
    <row r="24" customFormat="false" ht="15" hidden="false" customHeight="false" outlineLevel="0" collapsed="false">
      <c r="A24" s="7" t="s">
        <v>212</v>
      </c>
      <c r="B24" s="33" t="n">
        <f aca="false">N12-$N$5</f>
        <v>-3270.34948990958</v>
      </c>
      <c r="C24" s="33" t="n">
        <f aca="false">N13-$N$5</f>
        <v>3949.44939169632</v>
      </c>
    </row>
    <row r="25" customFormat="false" ht="15" hidden="false" customHeight="false" outlineLevel="0" collapsed="false">
      <c r="A25" s="7" t="s">
        <v>213</v>
      </c>
      <c r="B25" s="33" t="n">
        <f aca="false">N14-$N$5</f>
        <v>-4235.92070871311</v>
      </c>
      <c r="C25" s="33" t="n">
        <f aca="false">N15-$N$5</f>
        <v>5035.2861864816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9" min="5" style="0" width="16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5" t="s">
        <v>215</v>
      </c>
    </row>
    <row r="4" customFormat="false" ht="15" hidden="false" customHeight="false" outlineLevel="0" collapsed="false">
      <c r="A4" s="16" t="s">
        <v>216</v>
      </c>
      <c r="B4" s="42" t="str">
        <f aca="false">1_Inputs!B21</f>
        <v>Base</v>
      </c>
    </row>
    <row r="6" customFormat="false" ht="15" hidden="false" customHeight="false" outlineLevel="0" collapsed="false">
      <c r="A6" s="6" t="s">
        <v>113</v>
      </c>
      <c r="B6" s="6" t="s">
        <v>27</v>
      </c>
      <c r="C6" s="6" t="s">
        <v>217</v>
      </c>
    </row>
    <row r="7" customFormat="false" ht="15" hidden="false" customHeight="false" outlineLevel="0" collapsed="false">
      <c r="A7" s="16" t="s">
        <v>218</v>
      </c>
      <c r="B7" s="29" t="n">
        <f aca="false">4_DCF!B28</f>
        <v>65213.3324160052</v>
      </c>
      <c r="C7" s="34" t="n">
        <f aca="false">B7/$B$13-1</f>
        <v>-0.209535364654482</v>
      </c>
    </row>
    <row r="8" customFormat="false" ht="15" hidden="false" customHeight="false" outlineLevel="0" collapsed="false">
      <c r="A8" s="7" t="s">
        <v>219</v>
      </c>
      <c r="B8" s="37" t="n">
        <f aca="false">3_Scenarios!B22</f>
        <v>33465.1940524647</v>
      </c>
      <c r="C8" s="34" t="n">
        <f aca="false">B8/$B$13-1</f>
        <v>-0.59436128421255</v>
      </c>
    </row>
    <row r="9" customFormat="false" ht="15" hidden="false" customHeight="false" outlineLevel="0" collapsed="false">
      <c r="A9" s="7" t="s">
        <v>220</v>
      </c>
      <c r="B9" s="37" t="n">
        <f aca="false">3_Scenarios!C22</f>
        <v>65213.3324160052</v>
      </c>
      <c r="C9" s="34" t="n">
        <f aca="false">B9/$B$13-1</f>
        <v>-0.209535364654482</v>
      </c>
    </row>
    <row r="10" customFormat="false" ht="15" hidden="false" customHeight="false" outlineLevel="0" collapsed="false">
      <c r="A10" s="7" t="s">
        <v>221</v>
      </c>
      <c r="B10" s="37" t="n">
        <f aca="false">3_Scenarios!D22</f>
        <v>107024.858316044</v>
      </c>
      <c r="C10" s="34" t="n">
        <f aca="false">B10/$B$13-1</f>
        <v>0.297271009891444</v>
      </c>
    </row>
    <row r="11" customFormat="false" ht="15" hidden="false" customHeight="false" outlineLevel="0" collapsed="false">
      <c r="A11" s="7" t="s">
        <v>222</v>
      </c>
      <c r="B11" s="37" t="n">
        <f aca="false">5_Comps!B15</f>
        <v>138007.863695937</v>
      </c>
      <c r="C11" s="34" t="n">
        <f aca="false">B11/$B$13-1</f>
        <v>0.672822590253783</v>
      </c>
    </row>
    <row r="12" customFormat="false" ht="15" hidden="false" customHeight="false" outlineLevel="0" collapsed="false">
      <c r="A12" s="7" t="s">
        <v>223</v>
      </c>
      <c r="B12" s="37" t="n">
        <f aca="false">5_Comps!B18</f>
        <v>133672.346002621</v>
      </c>
      <c r="C12" s="34" t="n">
        <f aca="false">B12/$B$13-1</f>
        <v>0.620270860637833</v>
      </c>
    </row>
    <row r="13" customFormat="false" ht="15" hidden="false" customHeight="false" outlineLevel="0" collapsed="false">
      <c r="A13" s="7" t="s">
        <v>224</v>
      </c>
      <c r="B13" s="37" t="n">
        <f aca="false">1_Inputs!B8</f>
        <v>82500</v>
      </c>
      <c r="C13" s="34" t="n">
        <f aca="false">B13/$B$13-1</f>
        <v>0</v>
      </c>
    </row>
    <row r="14" customFormat="false" ht="15" hidden="false" customHeight="false" outlineLevel="0" collapsed="false">
      <c r="A14" s="7" t="s">
        <v>225</v>
      </c>
      <c r="B14" s="37" t="n">
        <f aca="false">1_Inputs!B16</f>
        <v>120000</v>
      </c>
      <c r="C14" s="34" t="n">
        <f aca="false">B14/$B$13-1</f>
        <v>0.454545454545455</v>
      </c>
    </row>
    <row r="15" customFormat="false" ht="15" hidden="false" customHeight="false" outlineLevel="0" collapsed="false">
      <c r="A15" s="7" t="s">
        <v>226</v>
      </c>
      <c r="B15" s="37" t="n">
        <f aca="false">1_Inputs!B17</f>
        <v>150000</v>
      </c>
      <c r="C15" s="34" t="n">
        <f aca="false">B15/$B$13-1</f>
        <v>0.818181818181818</v>
      </c>
    </row>
    <row r="16" customFormat="false" ht="15" hidden="false" customHeight="false" outlineLevel="0" collapsed="false">
      <c r="A16" s="7" t="s">
        <v>227</v>
      </c>
      <c r="B16" s="37" t="n">
        <f aca="false">1_Inputs!B18</f>
        <v>110000</v>
      </c>
      <c r="C16" s="34" t="n">
        <f aca="false">B16/$B$13-1</f>
        <v>0.333333333333333</v>
      </c>
    </row>
    <row r="18" customFormat="false" ht="23.85" hidden="false" customHeight="false" outlineLevel="0" collapsed="false">
      <c r="A18" s="16" t="s">
        <v>228</v>
      </c>
      <c r="B18" s="43" t="n">
        <f aca="false">MIN(B8:B12)</f>
        <v>33465.1940524647</v>
      </c>
      <c r="C18" s="43" t="n">
        <f aca="false">MAX(B8:B12)</f>
        <v>138007.863695937</v>
      </c>
    </row>
    <row r="19" customFormat="false" ht="15" hidden="false" customHeight="false" outlineLevel="0" collapsed="false">
      <c r="A19" s="16" t="s">
        <v>229</v>
      </c>
      <c r="B19" s="38" t="n">
        <f aca="false">6_Implied!E10</f>
        <v>0.0885290066649675</v>
      </c>
    </row>
    <row r="20" customFormat="false" ht="15" hidden="false" customHeight="false" outlineLevel="0" collapsed="false">
      <c r="A20" s="7" t="s">
        <v>230</v>
      </c>
      <c r="B20" s="38" t="n">
        <f aca="false">6_Implied!E11</f>
        <v>0.0320278096769144</v>
      </c>
    </row>
    <row r="21" customFormat="false" ht="15" hidden="false" customHeight="false" outlineLevel="0" collapsed="false">
      <c r="A21" s="7" t="s">
        <v>231</v>
      </c>
      <c r="B21" s="44" t="str">
        <f aca="false">2_Artist_Drivers!J13</f>
        <v>OK</v>
      </c>
    </row>
    <row r="22" customFormat="false" ht="15" hidden="false" customHeight="false" outlineLevel="0" collapsed="false">
      <c r="A22" s="7" t="s">
        <v>232</v>
      </c>
      <c r="B22" s="44" t="str">
        <f aca="false">IF(AND(3_Scenarios!B23="OK",7_Sensitivity!B17="OK"),"OK","CHECK")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233</v>
      </c>
    </row>
    <row r="4" customFormat="false" ht="15" hidden="false" customHeight="false" outlineLevel="0" collapsed="false">
      <c r="A4" s="6" t="s">
        <v>234</v>
      </c>
      <c r="B4" s="6" t="s">
        <v>29</v>
      </c>
      <c r="C4" s="6" t="s">
        <v>235</v>
      </c>
      <c r="D4" s="6" t="s">
        <v>236</v>
      </c>
      <c r="E4" s="6" t="s">
        <v>237</v>
      </c>
    </row>
    <row r="5" customFormat="false" ht="15" hidden="false" customHeight="false" outlineLevel="0" collapsed="false">
      <c r="A5" s="7" t="s">
        <v>238</v>
      </c>
      <c r="B5" s="9" t="s">
        <v>33</v>
      </c>
      <c r="C5" s="7" t="s">
        <v>239</v>
      </c>
      <c r="D5" s="7" t="s">
        <v>240</v>
      </c>
      <c r="E5" s="9" t="s">
        <v>241</v>
      </c>
    </row>
    <row r="6" customFormat="false" ht="15" hidden="false" customHeight="false" outlineLevel="0" collapsed="false">
      <c r="A6" s="7" t="s">
        <v>242</v>
      </c>
      <c r="B6" s="9" t="s">
        <v>33</v>
      </c>
      <c r="C6" s="7" t="s">
        <v>243</v>
      </c>
      <c r="D6" s="7" t="s">
        <v>244</v>
      </c>
      <c r="E6" s="9" t="s">
        <v>245</v>
      </c>
    </row>
    <row r="7" customFormat="false" ht="15" hidden="false" customHeight="false" outlineLevel="0" collapsed="false">
      <c r="A7" s="7" t="s">
        <v>246</v>
      </c>
      <c r="B7" s="9" t="s">
        <v>33</v>
      </c>
      <c r="C7" s="7" t="s">
        <v>247</v>
      </c>
      <c r="D7" s="7" t="s">
        <v>248</v>
      </c>
      <c r="E7" s="9" t="s">
        <v>249</v>
      </c>
    </row>
    <row r="8" customFormat="false" ht="15" hidden="false" customHeight="false" outlineLevel="0" collapsed="false">
      <c r="A8" s="7" t="s">
        <v>250</v>
      </c>
      <c r="B8" s="45" t="s">
        <v>44</v>
      </c>
      <c r="C8" s="7" t="s">
        <v>251</v>
      </c>
      <c r="D8" s="7" t="s">
        <v>252</v>
      </c>
      <c r="E8" s="9" t="s">
        <v>253</v>
      </c>
    </row>
    <row r="9" customFormat="false" ht="23.85" hidden="false" customHeight="false" outlineLevel="0" collapsed="false">
      <c r="A9" s="7" t="s">
        <v>254</v>
      </c>
      <c r="B9" s="9" t="s">
        <v>50</v>
      </c>
      <c r="C9" s="7" t="s">
        <v>255</v>
      </c>
      <c r="D9" s="7" t="s">
        <v>256</v>
      </c>
      <c r="E9" s="9" t="s">
        <v>257</v>
      </c>
    </row>
    <row r="10" customFormat="false" ht="23.85" hidden="false" customHeight="false" outlineLevel="0" collapsed="false">
      <c r="A10" s="7" t="s">
        <v>258</v>
      </c>
      <c r="B10" s="45" t="s">
        <v>259</v>
      </c>
      <c r="C10" s="7" t="s">
        <v>260</v>
      </c>
      <c r="D10" s="7" t="s">
        <v>261</v>
      </c>
      <c r="E10" s="9" t="s">
        <v>253</v>
      </c>
    </row>
    <row r="11" customFormat="false" ht="23.85" hidden="false" customHeight="false" outlineLevel="0" collapsed="false">
      <c r="A11" s="7" t="s">
        <v>262</v>
      </c>
      <c r="B11" s="9" t="s">
        <v>50</v>
      </c>
      <c r="C11" s="7" t="s">
        <v>263</v>
      </c>
      <c r="D11" s="7" t="s">
        <v>256</v>
      </c>
      <c r="E11" s="9" t="s">
        <v>257</v>
      </c>
    </row>
    <row r="12" customFormat="false" ht="15" hidden="false" customHeight="false" outlineLevel="0" collapsed="false">
      <c r="A12" s="7" t="s">
        <v>264</v>
      </c>
      <c r="B12" s="45" t="s">
        <v>44</v>
      </c>
      <c r="C12" s="7" t="s">
        <v>265</v>
      </c>
      <c r="D12" s="7" t="s">
        <v>266</v>
      </c>
      <c r="E12" s="9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267</v>
      </c>
    </row>
    <row r="4" customFormat="false" ht="15" hidden="false" customHeight="false" outlineLevel="0" collapsed="false">
      <c r="A4" s="6" t="s">
        <v>268</v>
      </c>
      <c r="B4" s="6" t="s">
        <v>269</v>
      </c>
      <c r="C4" s="6" t="s">
        <v>270</v>
      </c>
      <c r="D4" s="6" t="s">
        <v>271</v>
      </c>
    </row>
    <row r="5" customFormat="false" ht="23.85" hidden="false" customHeight="false" outlineLevel="0" collapsed="false">
      <c r="A5" s="9" t="s">
        <v>272</v>
      </c>
      <c r="B5" s="7" t="s">
        <v>273</v>
      </c>
      <c r="C5" s="46" t="s">
        <v>274</v>
      </c>
      <c r="D5" s="7" t="s">
        <v>275</v>
      </c>
    </row>
    <row r="6" customFormat="false" ht="23.85" hidden="false" customHeight="false" outlineLevel="0" collapsed="false">
      <c r="A6" s="9" t="s">
        <v>276</v>
      </c>
      <c r="B6" s="7" t="s">
        <v>277</v>
      </c>
      <c r="C6" s="46" t="s">
        <v>274</v>
      </c>
      <c r="D6" s="7" t="s">
        <v>278</v>
      </c>
    </row>
    <row r="7" customFormat="false" ht="15" hidden="false" customHeight="false" outlineLevel="0" collapsed="false">
      <c r="A7" s="9" t="s">
        <v>279</v>
      </c>
      <c r="B7" s="7" t="s">
        <v>280</v>
      </c>
      <c r="C7" s="47" t="s">
        <v>84</v>
      </c>
      <c r="D7" s="7" t="s">
        <v>281</v>
      </c>
    </row>
    <row r="8" customFormat="false" ht="23.85" hidden="false" customHeight="false" outlineLevel="0" collapsed="false">
      <c r="A8" s="9" t="s">
        <v>282</v>
      </c>
      <c r="B8" s="7" t="s">
        <v>283</v>
      </c>
      <c r="C8" s="46" t="s">
        <v>274</v>
      </c>
      <c r="D8" s="7" t="s">
        <v>284</v>
      </c>
    </row>
    <row r="9" customFormat="false" ht="15" hidden="false" customHeight="false" outlineLevel="0" collapsed="false">
      <c r="A9" s="9" t="s">
        <v>285</v>
      </c>
      <c r="B9" s="7" t="s">
        <v>286</v>
      </c>
      <c r="C9" s="47" t="s">
        <v>84</v>
      </c>
      <c r="D9" s="7" t="s">
        <v>287</v>
      </c>
    </row>
    <row r="10" customFormat="false" ht="15" hidden="false" customHeight="false" outlineLevel="0" collapsed="false">
      <c r="A10" s="9" t="s">
        <v>288</v>
      </c>
      <c r="B10" s="7" t="s">
        <v>289</v>
      </c>
      <c r="C10" s="47" t="s">
        <v>84</v>
      </c>
      <c r="D10" s="7" t="s">
        <v>290</v>
      </c>
    </row>
    <row r="11" customFormat="false" ht="15" hidden="false" customHeight="false" outlineLevel="0" collapsed="false">
      <c r="A11" s="9" t="s">
        <v>291</v>
      </c>
      <c r="B11" s="7" t="s">
        <v>292</v>
      </c>
      <c r="C11" s="47" t="s">
        <v>84</v>
      </c>
      <c r="D11" s="7" t="s">
        <v>293</v>
      </c>
    </row>
    <row r="12" customFormat="false" ht="15" hidden="false" customHeight="false" outlineLevel="0" collapsed="false">
      <c r="A12" s="9" t="s">
        <v>294</v>
      </c>
      <c r="B12" s="7" t="s">
        <v>295</v>
      </c>
      <c r="C12" s="47" t="s">
        <v>84</v>
      </c>
      <c r="D12" s="7" t="s">
        <v>296</v>
      </c>
    </row>
    <row r="13" customFormat="false" ht="15" hidden="false" customHeight="false" outlineLevel="0" collapsed="false">
      <c r="A13" s="9" t="s">
        <v>297</v>
      </c>
      <c r="B13" s="7" t="s">
        <v>298</v>
      </c>
      <c r="C13" s="47" t="s">
        <v>84</v>
      </c>
      <c r="D13" s="7" t="s">
        <v>299</v>
      </c>
    </row>
    <row r="14" customFormat="false" ht="15" hidden="false" customHeight="false" outlineLevel="0" collapsed="false">
      <c r="A14" s="9" t="s">
        <v>300</v>
      </c>
      <c r="B14" s="7" t="s">
        <v>301</v>
      </c>
      <c r="C14" s="47" t="s">
        <v>84</v>
      </c>
      <c r="D14" s="7" t="s">
        <v>302</v>
      </c>
    </row>
    <row r="15" customFormat="false" ht="15" hidden="false" customHeight="false" outlineLevel="0" collapsed="false">
      <c r="A15" s="9" t="s">
        <v>303</v>
      </c>
      <c r="B15" s="7" t="s">
        <v>304</v>
      </c>
      <c r="C15" s="47" t="s">
        <v>84</v>
      </c>
      <c r="D15" s="7" t="s">
        <v>305</v>
      </c>
    </row>
    <row r="16" customFormat="false" ht="15" hidden="false" customHeight="false" outlineLevel="0" collapsed="false">
      <c r="A16" s="9" t="s">
        <v>306</v>
      </c>
      <c r="B16" s="7" t="s">
        <v>307</v>
      </c>
      <c r="C16" s="47" t="s">
        <v>84</v>
      </c>
      <c r="D16" s="7" t="s">
        <v>308</v>
      </c>
    </row>
    <row r="17" customFormat="false" ht="15" hidden="false" customHeight="false" outlineLevel="0" collapsed="false">
      <c r="A17" s="9" t="s">
        <v>309</v>
      </c>
      <c r="B17" s="7" t="s">
        <v>310</v>
      </c>
      <c r="C17" s="46" t="s">
        <v>274</v>
      </c>
      <c r="D17" s="7" t="s">
        <v>311</v>
      </c>
    </row>
    <row r="18" customFormat="false" ht="15" hidden="false" customHeight="false" outlineLevel="0" collapsed="false">
      <c r="A18" s="9" t="s">
        <v>312</v>
      </c>
      <c r="B18" s="7" t="s">
        <v>313</v>
      </c>
      <c r="C18" s="47" t="s">
        <v>84</v>
      </c>
      <c r="D18" s="7" t="s">
        <v>314</v>
      </c>
    </row>
    <row r="19" customFormat="false" ht="15" hidden="false" customHeight="false" outlineLevel="0" collapsed="false">
      <c r="A19" s="9" t="s">
        <v>315</v>
      </c>
      <c r="B19" s="7" t="s">
        <v>316</v>
      </c>
      <c r="C19" s="47" t="s">
        <v>84</v>
      </c>
      <c r="D19" s="7" t="s">
        <v>317</v>
      </c>
    </row>
    <row r="20" customFormat="false" ht="15" hidden="false" customHeight="false" outlineLevel="0" collapsed="false">
      <c r="A20" s="9" t="s">
        <v>318</v>
      </c>
      <c r="B20" s="7" t="s">
        <v>319</v>
      </c>
      <c r="C20" s="47" t="s">
        <v>84</v>
      </c>
      <c r="D20" s="7" t="s">
        <v>320</v>
      </c>
    </row>
    <row r="22" customFormat="false" ht="15" hidden="false" customHeight="false" outlineLevel="0" collapsed="false">
      <c r="B22" s="16" t="s">
        <v>321</v>
      </c>
      <c r="C22" s="25" t="n">
        <f aca="false">COUNTIF(C5:C20,"Yes")</f>
        <v>12</v>
      </c>
    </row>
    <row r="23" customFormat="false" ht="15" hidden="false" customHeight="false" outlineLevel="0" collapsed="false">
      <c r="B23" s="16" t="s">
        <v>322</v>
      </c>
      <c r="C23" s="25" t="n">
        <f aca="false">COUNTIF(C5:C20,"Partial")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2026-10-09T08:22:29Z</dcterms:created>
  <dc:creator>openpyxl</dc:creator>
  <dc:description/>
  <dc:language>en-US</dc:language>
  <cp:lastModifiedBy/>
  <dcterms:modified xsi:type="dcterms:W3CDTF">2026-10-09T04:22:32Z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